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dos_DF" sheetId="1" state="visible" r:id="rId3"/>
    <sheet name="Materialidade" sheetId="2" state="visible" r:id="rId4"/>
    <sheet name="Concil_Investimento" sheetId="3" state="visible" r:id="rId5"/>
    <sheet name="Analiticos" sheetId="4" state="visible" r:id="rId6"/>
    <sheet name="Liquidez_Continuidade" sheetId="5" state="visible" r:id="rId7"/>
    <sheet name="Parametros_MUS" sheetId="6" state="visible" r:id="rId8"/>
    <sheet name="Mapa_Distorcoes" sheetId="7" state="visible" r:id="rId9"/>
    <sheet name="Conc_Razao_Balanco" sheetId="8" state="visible" r:id="rId10"/>
    <sheet name="Testes_Populaca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<sst xmlns="http://schemas.openxmlformats.org/spreadsheetml/2006/main" count="365" uniqueCount="333">
  <si>
    <t xml:space="preserve">DADOS PÚBLICOS — Bradespar S.A. — DFs de 31/12/2025 (R$ mil, salvo indicação). Azul = entrada transcrita da fonte.</t>
  </si>
  <si>
    <t xml:space="preserve">Chave</t>
  </si>
  <si>
    <t xml:space="preserve">Descrição</t>
  </si>
  <si>
    <t xml:space="preserve">2025</t>
  </si>
  <si>
    <t xml:space="preserve">2024</t>
  </si>
  <si>
    <t xml:space="preserve">Fonte (documento / página impressa)</t>
  </si>
  <si>
    <t xml:space="preserve">ativo_total</t>
  </si>
  <si>
    <t xml:space="preserve">Total do ativo</t>
  </si>
  <si>
    <t xml:space="preserve">Demonstrações Financeiras (DF) p.14 — Balanço</t>
  </si>
  <si>
    <t xml:space="preserve">ativo_circ</t>
  </si>
  <si>
    <t xml:space="preserve">Ativo circulante</t>
  </si>
  <si>
    <t xml:space="preserve">DF p.14</t>
  </si>
  <si>
    <t xml:space="preserve">caixa</t>
  </si>
  <si>
    <t xml:space="preserve">Caixa e equivalentes de caixa</t>
  </si>
  <si>
    <t xml:space="preserve">DF p.14; Nota 7 p.26</t>
  </si>
  <si>
    <t xml:space="preserve">div_receber</t>
  </si>
  <si>
    <t xml:space="preserve">Dividendos e JCP a receber</t>
  </si>
  <si>
    <t xml:space="preserve">investimentos</t>
  </si>
  <si>
    <t xml:space="preserve">Investimentos (Vale — equivalência)</t>
  </si>
  <si>
    <t xml:space="preserve">DF p.14; Nota 8 p.27</t>
  </si>
  <si>
    <t xml:space="preserve">imobilizado</t>
  </si>
  <si>
    <t xml:space="preserve">Imobilizado</t>
  </si>
  <si>
    <t xml:space="preserve">intangivel</t>
  </si>
  <si>
    <t xml:space="preserve">Intangível</t>
  </si>
  <si>
    <t xml:space="preserve">DF p.14; Nota 16b p.34</t>
  </si>
  <si>
    <t xml:space="preserve">tributos_rlp</t>
  </si>
  <si>
    <t xml:space="preserve">Tributos a compensar (RLP)</t>
  </si>
  <si>
    <t xml:space="preserve">DF p.14; Nota 12a p.31</t>
  </si>
  <si>
    <t xml:space="preserve">passivo_circ</t>
  </si>
  <si>
    <t xml:space="preserve">Passivo circulante</t>
  </si>
  <si>
    <t xml:space="preserve">passivo_nc</t>
  </si>
  <si>
    <t xml:space="preserve">Passivo não circulante</t>
  </si>
  <si>
    <t xml:space="preserve">pl</t>
  </si>
  <si>
    <t xml:space="preserve">Patrimônio líquido</t>
  </si>
  <si>
    <t xml:space="preserve">div_pagar</t>
  </si>
  <si>
    <t xml:space="preserve">Dividendos e JCP a pagar</t>
  </si>
  <si>
    <t xml:space="preserve">outras_obrig</t>
  </si>
  <si>
    <t xml:space="preserve">Outras obrigações</t>
  </si>
  <si>
    <t xml:space="preserve">DF p.14; Nota 16c p.34</t>
  </si>
  <si>
    <t xml:space="preserve">lucro</t>
  </si>
  <si>
    <t xml:space="preserve">Lucro líquido do exercício</t>
  </si>
  <si>
    <t xml:space="preserve">DF p.15 — DRE</t>
  </si>
  <si>
    <t xml:space="preserve">eq_pat</t>
  </si>
  <si>
    <t xml:space="preserve">Resultado de equivalência patrimonial</t>
  </si>
  <si>
    <t xml:space="preserve">DF p.15; Nota 8 p.27</t>
  </si>
  <si>
    <t xml:space="preserve">dga</t>
  </si>
  <si>
    <t xml:space="preserve">Despesas gerais e administrativas</t>
  </si>
  <si>
    <t xml:space="preserve">DF p.15; Nota 16d p.34</t>
  </si>
  <si>
    <t xml:space="preserve">desp_trib</t>
  </si>
  <si>
    <t xml:space="preserve">Despesas tributárias</t>
  </si>
  <si>
    <t xml:space="preserve">DF p.15</t>
  </si>
  <si>
    <t xml:space="preserve">rec_fin</t>
  </si>
  <si>
    <t xml:space="preserve">Receitas financeiras</t>
  </si>
  <si>
    <t xml:space="preserve">DF p.15; Nota 11 p.31</t>
  </si>
  <si>
    <t xml:space="preserve">rec_aplic</t>
  </si>
  <si>
    <t xml:space="preserve">  Receita de aplicações financeiras</t>
  </si>
  <si>
    <t xml:space="preserve">Nota 11 p.31</t>
  </si>
  <si>
    <t xml:space="preserve">res_fin</t>
  </si>
  <si>
    <t xml:space="preserve">Resultado financeiro</t>
  </si>
  <si>
    <t xml:space="preserve">oci</t>
  </si>
  <si>
    <t xml:space="preserve">Reflexos de empresas com influência significativa (OCI)</t>
  </si>
  <si>
    <t xml:space="preserve">DF p.16 — DRA; DMPL p.17</t>
  </si>
  <si>
    <t xml:space="preserve">dfc_op</t>
  </si>
  <si>
    <t xml:space="preserve">Caixa líquido das atividades operacionais</t>
  </si>
  <si>
    <t xml:space="preserve">DF p.18 — DFC</t>
  </si>
  <si>
    <t xml:space="preserve">dfc_fin</t>
  </si>
  <si>
    <t xml:space="preserve">Caixa líquido das atividades de financiamento</t>
  </si>
  <si>
    <t xml:space="preserve">DF p.18</t>
  </si>
  <si>
    <t xml:space="preserve">dfc_receb</t>
  </si>
  <si>
    <t xml:space="preserve">JCP e dividendos recebidos (DFC)</t>
  </si>
  <si>
    <t xml:space="preserve">var_caixa</t>
  </si>
  <si>
    <t xml:space="preserve">Variação de caixa</t>
  </si>
  <si>
    <t xml:space="preserve">jcp_receb</t>
  </si>
  <si>
    <t xml:space="preserve">JCP recebidos de Vale (bruto IRRF)</t>
  </si>
  <si>
    <t xml:space="preserve">Nota 13 I p.32</t>
  </si>
  <si>
    <t xml:space="preserve">jcp_receber</t>
  </si>
  <si>
    <t xml:space="preserve">JCP a receber de Vale (bruto IRRF)</t>
  </si>
  <si>
    <t xml:space="preserve">div_receb</t>
  </si>
  <si>
    <t xml:space="preserve">Dividendos recebidos de Vale</t>
  </si>
  <si>
    <t xml:space="preserve">div_receber_v</t>
  </si>
  <si>
    <t xml:space="preserve">Dividendos a receber de Vale</t>
  </si>
  <si>
    <t xml:space="preserve">Nota 13 I p.32 (2024 não informado)</t>
  </si>
  <si>
    <t xml:space="preserve">irrf</t>
  </si>
  <si>
    <t xml:space="preserve">Alíquota de IRRF sobre JCP</t>
  </si>
  <si>
    <t xml:space="preserve">Nota 10c p.29–30</t>
  </si>
  <si>
    <t xml:space="preserve">vale_pl_aj</t>
  </si>
  <si>
    <t xml:space="preserve">Vale — PL ajustado (Nota 8)</t>
  </si>
  <si>
    <t xml:space="preserve">Nota 8 p.27</t>
  </si>
  <si>
    <t xml:space="preserve">vale_res_aj</t>
  </si>
  <si>
    <t xml:space="preserve">Vale — resultado ajustado (Nota 8)</t>
  </si>
  <si>
    <t xml:space="preserve">Nota 8 p.27; Nota 18 p.35 (2024 em R$ mi)</t>
  </si>
  <si>
    <t xml:space="preserve">p_dir</t>
  </si>
  <si>
    <t xml:space="preserve">Participação no capital social (Nota 8)</t>
  </si>
  <si>
    <t xml:space="preserve">Nota 8 p.27; Nota 18 p.35</t>
  </si>
  <si>
    <t xml:space="preserve">p_ex_tes</t>
  </si>
  <si>
    <t xml:space="preserve">Participação sem ações em tesouraria (V/T)</t>
  </si>
  <si>
    <t xml:space="preserve">Relatório da Administração — Estrutura dos Investimentos, p.3</t>
  </si>
  <si>
    <t xml:space="preserve">mercado</t>
  </si>
  <si>
    <t xml:space="preserve">Valor de mercado da participação na Vale</t>
  </si>
  <si>
    <t xml:space="preserve">Nota 8 (3) p.27</t>
  </si>
  <si>
    <t xml:space="preserve">div_dec_total</t>
  </si>
  <si>
    <t xml:space="preserve">Dividendos declarados 2025 pela Bradespar (DMPL)</t>
  </si>
  <si>
    <t xml:space="preserve">DMPL p.17</t>
  </si>
  <si>
    <t xml:space="preserve">jcp_dec_total</t>
  </si>
  <si>
    <t xml:space="preserve">JCP declarados 2025 pela Bradespar (DMPL)</t>
  </si>
  <si>
    <t xml:space="preserve">rem_adm</t>
  </si>
  <si>
    <t xml:space="preserve">Remuneração do pessoal-chave (total)</t>
  </si>
  <si>
    <t xml:space="preserve">Nota 13 II p.32</t>
  </si>
  <si>
    <t xml:space="preserve">rem_limite</t>
  </si>
  <si>
    <t xml:space="preserve">Limite AGO 2025: remuneração + previdência</t>
  </si>
  <si>
    <t xml:space="preserve">Nota 13 II p.32 (19.391 + 519)</t>
  </si>
  <si>
    <t xml:space="preserve">desp_pessoal</t>
  </si>
  <si>
    <t xml:space="preserve">Despesas de pessoal</t>
  </si>
  <si>
    <t xml:space="preserve">Nota 16d p.34</t>
  </si>
  <si>
    <t xml:space="preserve">outras_dga</t>
  </si>
  <si>
    <t xml:space="preserve">Outras despesas gerais e administrativas</t>
  </si>
  <si>
    <t xml:space="preserve">selic_proxy</t>
  </si>
  <si>
    <t xml:space="preserve">Taxa prefixada 1 ano usada no cenário-base da Nota 14</t>
  </si>
  <si>
    <t xml:space="preserve">Nota 14b p.33–34 (exemplo 13,80% a.a.)</t>
  </si>
  <si>
    <t xml:space="preserve">litel</t>
  </si>
  <si>
    <t xml:space="preserve">Contingência possível — Litel (R$ mil)</t>
  </si>
  <si>
    <t xml:space="preserve">Nota 9 b-I p.27</t>
  </si>
  <si>
    <t xml:space="preserve">autuacao</t>
  </si>
  <si>
    <t xml:space="preserve">Contingência possível — autuação IRPJ/CSL (R$ mil)</t>
  </si>
  <si>
    <t xml:space="preserve">Nota 9 b-II p.28</t>
  </si>
  <si>
    <t xml:space="preserve">cred_trib</t>
  </si>
  <si>
    <t xml:space="preserve">Créditos tributários não ativados</t>
  </si>
  <si>
    <t xml:space="preserve">Nota 12c p.32</t>
  </si>
  <si>
    <t xml:space="preserve">PT 320 — Materialidade (R$ mil) — decisão didática; julgamento do preparador (matrícula 211014396)</t>
  </si>
  <si>
    <t xml:space="preserve">Referencial</t>
  </si>
  <si>
    <t xml:space="preserve">Base (R$ mil)</t>
  </si>
  <si>
    <t xml:space="preserve">% aplicado</t>
  </si>
  <si>
    <t xml:space="preserve">Resultado (R$ mil)</t>
  </si>
  <si>
    <t xml:space="preserve">Comentário</t>
  </si>
  <si>
    <t xml:space="preserve">Ativo total</t>
  </si>
  <si>
    <t xml:space="preserve">ESCOLHIDO para as DFs como um todo: ativo concentrado (92% em Investimentos) e usuários focados no valor da participação na Vale.</t>
  </si>
  <si>
    <t xml:space="preserve">Alternativa convergente.</t>
  </si>
  <si>
    <t xml:space="preserve">Lucro antes do IR (resultado)</t>
  </si>
  <si>
    <t xml:space="preserve">Volátil (−54% a/a) e derivado da investida: usado para MATERIALIDADE ESPECÍFICA de contas de resultado.</t>
  </si>
  <si>
    <t xml:space="preserve">Equivalência patrimonial (proxy de receita)</t>
  </si>
  <si>
    <t xml:space="preserve">Referencial alternativo de resultado.</t>
  </si>
  <si>
    <t xml:space="preserve">Materialidade global adotada (arredondada)</t>
  </si>
  <si>
    <t xml:space="preserve">Percentual para execução</t>
  </si>
  <si>
    <t xml:space="preserve">Materialidade para execução (PM)</t>
  </si>
  <si>
    <t xml:space="preserve">Limite de claramente trivial</t>
  </si>
  <si>
    <t xml:space="preserve">Materialidade específica — contas de resultado e distribuições (5% do lucro)</t>
  </si>
  <si>
    <t xml:space="preserve">PM específica (70%)</t>
  </si>
  <si>
    <t xml:space="preserve">Materialidade específica — remuneração de administradores / partes relacionadas</t>
  </si>
  <si>
    <t xml:space="preserve">Sensibilidade qualitativa (NBC TA 320.A..; 550): 5% do total pago ao pessoal-chave.</t>
  </si>
  <si>
    <t xml:space="preserve">Teste de razoabilidade</t>
  </si>
  <si>
    <t xml:space="preserve">Materialidade global / lucro 2025</t>
  </si>
  <si>
    <t xml:space="preserve">Materialidade global / PL</t>
  </si>
  <si>
    <t xml:space="preserve">Materialidade global / valor de mercado da Vale</t>
  </si>
  <si>
    <t xml:space="preserve">Investimentos / ativo total</t>
  </si>
  <si>
    <t xml:space="preserve">PT 500/510/330 — Roll-forward da conta Investimentos e conciliações com Notas 8, 10 e 13 (R$ mil)</t>
  </si>
  <si>
    <t xml:space="preserve">Item</t>
  </si>
  <si>
    <t xml:space="preserve">Fonte/observação</t>
  </si>
  <si>
    <t xml:space="preserve">Saldo inicial (31/12/2024)</t>
  </si>
  <si>
    <t xml:space="preserve">Balanço 2024 (comparativo)</t>
  </si>
  <si>
    <t xml:space="preserve">(+) Equivalência patrimonial</t>
  </si>
  <si>
    <t xml:space="preserve">DRE; Nota 8</t>
  </si>
  <si>
    <t xml:space="preserve">(+/−) Reflexos em OCI</t>
  </si>
  <si>
    <t xml:space="preserve">DRA/DMPL</t>
  </si>
  <si>
    <t xml:space="preserve">(−) JCP declarados pela Vale (bruto): recebidos + a receber</t>
  </si>
  <si>
    <t xml:space="preserve">Nota 13 I</t>
  </si>
  <si>
    <t xml:space="preserve">(−) Dividendos declarados pela Vale: recebidos + a receber</t>
  </si>
  <si>
    <t xml:space="preserve">Total: saldo final calculado</t>
  </si>
  <si>
    <t xml:space="preserve">Saldo final no Balanço</t>
  </si>
  <si>
    <t xml:space="preserve">Balanço</t>
  </si>
  <si>
    <t xml:space="preserve">Diferença (deve ser zero)</t>
  </si>
  <si>
    <t xml:space="preserve">Conciliação exata em R$ mil</t>
  </si>
  <si>
    <t xml:space="preserve">Conciliação de dividendos e JCP a receber (Balanço × Nota 13)</t>
  </si>
  <si>
    <t xml:space="preserve">JCP a receber bruto 2025</t>
  </si>
  <si>
    <t xml:space="preserve">(−) IRRF 15%</t>
  </si>
  <si>
    <t xml:space="preserve">Nota 10c: IRRF 15% sobre JCP</t>
  </si>
  <si>
    <t xml:space="preserve">(+) Dividendos a receber</t>
  </si>
  <si>
    <t xml:space="preserve">Total: dividendos e JCP a receber calculado</t>
  </si>
  <si>
    <t xml:space="preserve">Balanço (Dividendos e JCP a receber)</t>
  </si>
  <si>
    <t xml:space="preserve">Diferença (arredondamento)</t>
  </si>
  <si>
    <t xml:space="preserve">Aceitável: &lt; R$ 1 mil</t>
  </si>
  <si>
    <t xml:space="preserve">2024: JCP a receber bruto − IRRF</t>
  </si>
  <si>
    <t xml:space="preserve">2024: Balanço</t>
  </si>
  <si>
    <t xml:space="preserve">2024: diferença</t>
  </si>
  <si>
    <t xml:space="preserve">Conciliação do fluxo de caixa: JCP e dividendos recebidos (DFC) × Nota 13</t>
  </si>
  <si>
    <t xml:space="preserve">JCP recebidos 2025 (bruto)</t>
  </si>
  <si>
    <t xml:space="preserve">(−) IRRF 15% retido</t>
  </si>
  <si>
    <t xml:space="preserve">(+) Dividendos recebidos 2025</t>
  </si>
  <si>
    <t xml:space="preserve">(+) Recebimento em 2025 do saldo a receber de 2024</t>
  </si>
  <si>
    <t xml:space="preserve">Total: recebimentos calculados</t>
  </si>
  <si>
    <t xml:space="preserve">DFC — JCP e dividendos recebidos</t>
  </si>
  <si>
    <t xml:space="preserve">Diferença (deve ser ~0)</t>
  </si>
  <si>
    <t xml:space="preserve">Verificação do valor patrimonial × participação</t>
  </si>
  <si>
    <t xml:space="preserve">Participação (Nota 8) × PL ajustado da Vale</t>
  </si>
  <si>
    <t xml:space="preserve">Saldo contábil</t>
  </si>
  <si>
    <t xml:space="preserve">Diferença</t>
  </si>
  <si>
    <t xml:space="preserve">Diferença / saldo</t>
  </si>
  <si>
    <t xml:space="preserve">Valor de mercado da participação</t>
  </si>
  <si>
    <t xml:space="preserve">Mercado / contábil (indício de impairment? &lt;1 = sim)</t>
  </si>
  <si>
    <t xml:space="preserve">PT 520 — Procedimentos analíticos substantivos (R$ mil) — Realizado com evidência pública</t>
  </si>
  <si>
    <t xml:space="preserve">Limite de diferença aceitável sem investigação (NBC TA 520.5(d)) = PM específica de resultado (Materialidade!D14)</t>
  </si>
  <si>
    <t xml:space="preserve">Análise</t>
  </si>
  <si>
    <t xml:space="preserve">Expectativa</t>
  </si>
  <si>
    <t xml:space="preserve">Registrado</t>
  </si>
  <si>
    <t xml:space="preserve">Dif./registrado</t>
  </si>
  <si>
    <t xml:space="preserve">Limite aceitável</t>
  </si>
  <si>
    <t xml:space="preserve">Investigar?</t>
  </si>
  <si>
    <t xml:space="preserve">A1 Equivalência: 3,60% × resultado ajustado da Vale</t>
  </si>
  <si>
    <t xml:space="preserve">Participação direta sobre capital total (inclui ações em tesouraria da investida).</t>
  </si>
  <si>
    <t xml:space="preserve">A2 Equivalência: 3,83% (sem tesouraria) × resultado ajustado</t>
  </si>
  <si>
    <t xml:space="preserve">Expectativa mais precisa; resíduo ainda acima do limite: a % média ponderada ao longo de 2025 pode ser maior (recompras) — requer ITRs da Vale.</t>
  </si>
  <si>
    <t xml:space="preserve">A3 Investimento: 3,60% × PL ajustado da Vale</t>
  </si>
  <si>
    <t xml:space="preserve">Alta aderência (0,03%).</t>
  </si>
  <si>
    <t xml:space="preserve">A4 Receita de aplicações: taxa 13,80% × média simples do caixa</t>
  </si>
  <si>
    <t xml:space="preserve">Média simples não reflete saldos intra-anuais (JCP/dividendos recebidos de R$ 685 mi e pagamentos de R$ 940 mi). Precisão insuficiente.</t>
  </si>
  <si>
    <t xml:space="preserve">A5 Despesas G&amp;A: pessoal 2025 + outras despesas de 2024</t>
  </si>
  <si>
    <t xml:space="preserve">Aumento de G&amp;A explicado pelo aumento de pessoal (R$ 18.463 → 26.755 mil).</t>
  </si>
  <si>
    <t xml:space="preserve">A6 Remuneração do pessoal-chave vs limite aprovado em AGO</t>
  </si>
  <si>
    <t xml:space="preserve">Dentro do limite (R$ 19.391 + R$ 519).</t>
  </si>
  <si>
    <t xml:space="preserve">A7 DFC: variação de caixa = op. + invest. + financ.</t>
  </si>
  <si>
    <t xml:space="preserve">Fecha com 0 de investimentos em 2025.</t>
  </si>
  <si>
    <t xml:space="preserve">A8 Caixa final = inicial + variação</t>
  </si>
  <si>
    <t xml:space="preserve">Fecha exatamente.</t>
  </si>
  <si>
    <t xml:space="preserve">A9 Dividendos+JCP declarados (DMPL) × declarados Bradespar (Nota 10c)</t>
  </si>
  <si>
    <t xml:space="preserve">Nota 10c total 2025 R$ 1.247.000 mil vs DMPL R$ 1.247.000 mil.</t>
  </si>
  <si>
    <t xml:space="preserve">PT 570 — Continuidade operacional / liquidez (R$ mil) — Realizado com evidência pública (limitado às DFs)</t>
  </si>
  <si>
    <t xml:space="preserve">Indicador</t>
  </si>
  <si>
    <t xml:space="preserve">Liquidez corrente (AC/PC)</t>
  </si>
  <si>
    <t xml:space="preserve">Reduziu em 2025, mas permanece &gt; 1</t>
  </si>
  <si>
    <t xml:space="preserve">Caixa / passivo circulante</t>
  </si>
  <si>
    <t xml:space="preserve">Cobertura por caixa caiu: depende de recebimentos da Vale</t>
  </si>
  <si>
    <t xml:space="preserve">(Caixa + Div/JCP a receber) / Div/JCP a pagar</t>
  </si>
  <si>
    <t xml:space="preserve">Obrigação com acionistas coberta por recebíveis da Vale</t>
  </si>
  <si>
    <t xml:space="preserve">Dívida financeira</t>
  </si>
  <si>
    <t xml:space="preserve">Sem empréstimos/financiamentos nas DFs (Notas 14 e 16)</t>
  </si>
  <si>
    <t xml:space="preserve">Caixa operacional / distribuições pagas</t>
  </si>
  <si>
    <t xml:space="preserve">&lt;1: distribuições superiores ao caixa gerado; consumo do caixa acumulado</t>
  </si>
  <si>
    <t xml:space="preserve">Passivos contingentes possíveis (Litel + autuação)</t>
  </si>
  <si>
    <t xml:space="preserve">Não provisionados (Nota 9)</t>
  </si>
  <si>
    <t xml:space="preserve">  … como % do PL</t>
  </si>
  <si>
    <t xml:space="preserve">  … como % do valor de mercado da Vale</t>
  </si>
  <si>
    <t xml:space="preserve">Capacidade de pagamento via venda de ações, em tese</t>
  </si>
  <si>
    <t xml:space="preserve">  … vezes o caixa e equivalentes</t>
  </si>
  <si>
    <t xml:space="preserve">Sem liquidez imediata — gatilho de atenção se houver perda provável</t>
  </si>
  <si>
    <t xml:space="preserve">Não reconhecidos; sem impacto no balanço</t>
  </si>
  <si>
    <t xml:space="preserve">PT 530 — Parâmetros da amostragem por unidade monetária (R$) — BASE SINTÉTICA — Simulado para fins didáticos</t>
  </si>
  <si>
    <t xml:space="preserve">Valor contábil da população (R$)</t>
  </si>
  <si>
    <t xml:space="preserve">Distorção tolerável = PM (R$)</t>
  </si>
  <si>
    <t xml:space="preserve">Distorção esperada (R$) — hipótese</t>
  </si>
  <si>
    <t xml:space="preserve">Fator de confiança (zero erros, 95%)</t>
  </si>
  <si>
    <t xml:space="preserve">Fator de expansão (95%)</t>
  </si>
  <si>
    <t xml:space="preserve">Tamanho da amostra = VC × FC / (TM − DE × FE)</t>
  </si>
  <si>
    <t xml:space="preserve">Intervalo de amostragem (R$)</t>
  </si>
  <si>
    <t xml:space="preserve">Resultados da execução (script 03_amostragem_mus.py)</t>
  </si>
  <si>
    <t xml:space="preserve">Materialidade global (R$)</t>
  </si>
  <si>
    <t xml:space="preserve">Materialidade para execução = distorção tolerável (R$)</t>
  </si>
  <si>
    <t xml:space="preserve">Distorção esperada assumida (R$)</t>
  </si>
  <si>
    <t xml:space="preserve">Fator de confiança (zero erros), 95%</t>
  </si>
  <si>
    <t xml:space="preserve">Fator de expansão</t>
  </si>
  <si>
    <t xml:space="preserve">Tamanho calculado da amostra</t>
  </si>
  <si>
    <t xml:space="preserve">Itens do estrato topo (&gt;= intervalo)</t>
  </si>
  <si>
    <t xml:space="preserve">Itens selecionados no estrato sistemático</t>
  </si>
  <si>
    <t xml:space="preserve">Itens na amostra (total)</t>
  </si>
  <si>
    <t xml:space="preserve">Início aleatório (R$)</t>
  </si>
  <si>
    <t xml:space="preserve">Itens com distorção (superavaliação)</t>
  </si>
  <si>
    <t xml:space="preserve">Itens com distorção (subavaliação)</t>
  </si>
  <si>
    <t xml:space="preserve">Distorção bruta encontrada na amostra (R$)</t>
  </si>
  <si>
    <t xml:space="preserve">Distorção mais provável projetada — superavaliação (R$)</t>
  </si>
  <si>
    <t xml:space="preserve">Limite superior de erro (Stringer, 95%) — superavaliação (R$)</t>
  </si>
  <si>
    <t xml:space="preserve">UEL / distorção tolerável</t>
  </si>
  <si>
    <t xml:space="preserve">Conclusão da amostra</t>
  </si>
  <si>
    <t xml:space="preserve">UEL &gt; TM: amostra NÃO apoia aceitação sem ajustes/ampliação</t>
  </si>
  <si>
    <t xml:space="preserve">PT 450 — Mapa de distorções (BASE SINTÉTICA) — valores em R$ — Simulado para fins didáticos</t>
  </si>
  <si>
    <t xml:space="preserve">tipo_erro</t>
  </si>
  <si>
    <t xml:space="preserve">inseridos</t>
  </si>
  <si>
    <t xml:space="preserve">natureza</t>
  </si>
  <si>
    <t xml:space="preserve">efeito_inserido_brl</t>
  </si>
  <si>
    <t xml:space="preserve">detectados_populacao</t>
  </si>
  <si>
    <t xml:space="preserve">selecionados_amostra</t>
  </si>
  <si>
    <t xml:space="preserve">detectados_amostra</t>
  </si>
  <si>
    <t xml:space="preserve">recall_populacao_%</t>
  </si>
  <si>
    <t xml:space="preserve">E1a</t>
  </si>
  <si>
    <t xml:space="preserve">valor</t>
  </si>
  <si>
    <t xml:space="preserve">E1b</t>
  </si>
  <si>
    <t xml:space="preserve">E2</t>
  </si>
  <si>
    <t xml:space="preserve">E3</t>
  </si>
  <si>
    <t xml:space="preserve">E4</t>
  </si>
  <si>
    <t xml:space="preserve">corte</t>
  </si>
  <si>
    <t xml:space="preserve">E5</t>
  </si>
  <si>
    <t xml:space="preserve">E6</t>
  </si>
  <si>
    <t xml:space="preserve">integridade</t>
  </si>
  <si>
    <t xml:space="preserve">E7</t>
  </si>
  <si>
    <t xml:space="preserve">E8</t>
  </si>
  <si>
    <t xml:space="preserve">classificacao</t>
  </si>
  <si>
    <t xml:space="preserve">E9</t>
  </si>
  <si>
    <t xml:space="preserve">TOTAL</t>
  </si>
  <si>
    <t xml:space="preserve">Materialidade para execução (R$)</t>
  </si>
  <si>
    <t xml:space="preserve">Limite de trivial (R$)</t>
  </si>
  <si>
    <t xml:space="preserve">Efeito líquido (natureza 'valor') / materialidade global</t>
  </si>
  <si>
    <t xml:space="preserve">Efeito líquido inserido (natureza valor) — R$</t>
  </si>
  <si>
    <t xml:space="preserve">Efeito líquido / materialidade para execução</t>
  </si>
  <si>
    <t xml:space="preserve">Parcela que afeta resultado (E1a + E5) — R$</t>
  </si>
  <si>
    <t xml:space="preserve">Parcela de resultado / materialidade específica de resultado</t>
  </si>
  <si>
    <t xml:space="preserve">PT 500 — Conciliação do razão auxiliar sintético com o Balanço (R$) — Simulado para fins didáticos</t>
  </si>
  <si>
    <t xml:space="preserve">Valor (R$)</t>
  </si>
  <si>
    <t xml:space="preserve">Saldo contábil — Balanço 31/12/2025 (Investimentos)</t>
  </si>
  <si>
    <t xml:space="preserve">(+) Duplicidades (T3)</t>
  </si>
  <si>
    <t xml:space="preserve">(+/−) Quantidade registrada diverge da custódia (T2)</t>
  </si>
  <si>
    <t xml:space="preserve">(+/−) Valores sem aderência ao pro rata/soma (T1, T5, T8)</t>
  </si>
  <si>
    <t xml:space="preserve">(+) Excesso de ações no total de controle (T0): 14,718 ações × R$ 44.9619 — NÃO localizado por linha</t>
  </si>
  <si>
    <t xml:space="preserve">Total: saldo esperado do razão auxiliar (todas as contas)</t>
  </si>
  <si>
    <t xml:space="preserve">Soma observada do razão auxiliar (todas as contas)</t>
  </si>
  <si>
    <t xml:space="preserve">Diferença residual não explicada (arredondamento/precisão)</t>
  </si>
  <si>
    <t xml:space="preserve">(−) Registros em conta indevida (T9)</t>
  </si>
  <si>
    <t xml:space="preserve">Total: soma do razão auxiliar na conta 1.2.1.01</t>
  </si>
  <si>
    <t xml:space="preserve">Diferença total da conta 1.2.1.01 vs. Balanço</t>
  </si>
  <si>
    <t xml:space="preserve">PT 240/520/530 — Resultado dos testes em 100% da base sintética — Simulado para fins didáticos</t>
  </si>
  <si>
    <t xml:space="preserve">teste</t>
  </si>
  <si>
    <t xml:space="preserve">registros_alertados</t>
  </si>
  <si>
    <t xml:space="preserve">soma_saldo_alertado_brl</t>
  </si>
  <si>
    <t xml:space="preserve">efeito_estimado_brl</t>
  </si>
  <si>
    <t xml:space="preserve">T1_soma</t>
  </si>
  <si>
    <t xml:space="preserve">T2_qtd_vs_custodia</t>
  </si>
  <si>
    <t xml:space="preserve">T3_duplicidade_lote</t>
  </si>
  <si>
    <t xml:space="preserve">T4_qtd_invalida</t>
  </si>
  <si>
    <t xml:space="preserve">T5_prorata_recalculo</t>
  </si>
  <si>
    <t xml:space="preserve">T6_corte_pos_emissao</t>
  </si>
  <si>
    <t xml:space="preserve">T7a_manual_fim_semana</t>
  </si>
  <si>
    <t xml:space="preserve">T7b_manual_madrugada</t>
  </si>
  <si>
    <t xml:space="preserve">T7c_usuario_nao_autorizado</t>
  </si>
  <si>
    <t xml:space="preserve">T7d_valor_redondo</t>
  </si>
  <si>
    <t xml:space="preserve">T8_saldo_zero_com_qtd</t>
  </si>
  <si>
    <t xml:space="preserve">T9_conta_indevida</t>
  </si>
  <si>
    <t xml:space="preserve">T0_total_controle_acoes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</si>
</sst>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(#,##0\)"/>
    <numFmt numFmtId="166" formatCode="0.0%"/>
    <numFmt numFmtId="167" formatCode="#,##0.00;[RED]\(#,##0.00\)"/>
    <numFmt numFmtId="168" formatCode="0.00"/>
    <numFmt numFmtId="169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  <c r="C4" s="3" t="n">
        <v>7999560</v>
      </c>
      <c r="D4" s="3" t="n">
        <v>8606884</v>
      </c>
      <c r="E4" s="4" t="s">
        <v>8</v>
      </c>
    </row>
    <row r="5" customFormat="false" ht="15" hidden="false" customHeight="false" outlineLevel="0" collapsed="false">
      <c r="A5" s="0" t="s">
        <v>9</v>
      </c>
      <c r="B5" s="0" t="s">
        <v>10</v>
      </c>
      <c r="C5" s="3" t="n">
        <v>565128</v>
      </c>
      <c r="D5" s="3" t="n">
        <v>360610</v>
      </c>
      <c r="E5" s="4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C6" s="3" t="n">
        <v>18402</v>
      </c>
      <c r="D6" s="3" t="n">
        <v>287950</v>
      </c>
      <c r="E6" s="4" t="s">
        <v>14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n">
        <v>546640</v>
      </c>
      <c r="D7" s="3" t="n">
        <v>72276</v>
      </c>
      <c r="E7" s="4" t="s">
        <v>11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n">
        <v>7344756</v>
      </c>
      <c r="D8" s="3" t="n">
        <v>8153681</v>
      </c>
      <c r="E8" s="4" t="s">
        <v>19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n">
        <v>899</v>
      </c>
      <c r="D9" s="3" t="n">
        <v>1011</v>
      </c>
      <c r="E9" s="4" t="s">
        <v>11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n">
        <v>4067</v>
      </c>
      <c r="D10" s="3" t="n">
        <v>2306</v>
      </c>
      <c r="E10" s="4" t="s">
        <v>24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3" t="n">
        <v>84710</v>
      </c>
      <c r="D11" s="3" t="n">
        <v>89276</v>
      </c>
      <c r="E11" s="4" t="s">
        <v>27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3" t="n">
        <v>347821</v>
      </c>
      <c r="D12" s="3" t="n">
        <v>121412</v>
      </c>
      <c r="E12" s="4" t="s">
        <v>11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3" t="n">
        <v>3968</v>
      </c>
      <c r="D13" s="3" t="n">
        <v>2105</v>
      </c>
      <c r="E13" s="4" t="s">
        <v>11</v>
      </c>
    </row>
    <row r="14" customFormat="false" ht="15" hidden="false" customHeight="false" outlineLevel="0" collapsed="false">
      <c r="A14" s="0" t="s">
        <v>32</v>
      </c>
      <c r="B14" s="0" t="s">
        <v>33</v>
      </c>
      <c r="C14" s="3" t="n">
        <v>7647771</v>
      </c>
      <c r="D14" s="3" t="n">
        <v>8483367</v>
      </c>
      <c r="E14" s="4" t="s">
        <v>11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3" t="n">
        <v>316563</v>
      </c>
      <c r="D15" s="3" t="n">
        <v>87936</v>
      </c>
      <c r="E15" s="4" t="s">
        <v>11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3" t="n">
        <v>30034</v>
      </c>
      <c r="D16" s="3" t="n">
        <v>32545</v>
      </c>
      <c r="E16" s="4" t="s">
        <v>38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3" t="n">
        <v>546993</v>
      </c>
      <c r="D17" s="3" t="n">
        <v>1192208</v>
      </c>
      <c r="E17" s="4" t="s">
        <v>41</v>
      </c>
    </row>
    <row r="18" customFormat="false" ht="15" hidden="false" customHeight="false" outlineLevel="0" collapsed="false">
      <c r="A18" s="0" t="s">
        <v>42</v>
      </c>
      <c r="B18" s="0" t="s">
        <v>43</v>
      </c>
      <c r="C18" s="3" t="n">
        <v>571264</v>
      </c>
      <c r="D18" s="3" t="n">
        <v>1187822</v>
      </c>
      <c r="E18" s="4" t="s">
        <v>44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3" t="n">
        <v>-34541</v>
      </c>
      <c r="D19" s="3" t="n">
        <v>-26286</v>
      </c>
      <c r="E19" s="4" t="s">
        <v>47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3" t="n">
        <v>-64815</v>
      </c>
      <c r="D20" s="3" t="n">
        <v>-42823</v>
      </c>
      <c r="E20" s="4" t="s">
        <v>50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3" t="n">
        <v>75615</v>
      </c>
      <c r="D21" s="3" t="n">
        <v>58167</v>
      </c>
      <c r="E21" s="4" t="s">
        <v>53</v>
      </c>
    </row>
    <row r="22" customFormat="false" ht="15" hidden="false" customHeight="false" outlineLevel="0" collapsed="false">
      <c r="A22" s="0" t="s">
        <v>54</v>
      </c>
      <c r="B22" s="0" t="s">
        <v>55</v>
      </c>
      <c r="C22" s="3" t="n">
        <v>55506</v>
      </c>
      <c r="D22" s="3" t="n">
        <v>42312</v>
      </c>
      <c r="E22" s="4" t="s">
        <v>56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3" t="n">
        <v>75085</v>
      </c>
      <c r="D23" s="3" t="n">
        <v>57639</v>
      </c>
      <c r="E23" s="4" t="s">
        <v>50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3" t="n">
        <v>-135589</v>
      </c>
      <c r="D24" s="3" t="n">
        <v>329140</v>
      </c>
      <c r="E24" s="4" t="s">
        <v>61</v>
      </c>
    </row>
    <row r="25" customFormat="false" ht="15" hidden="false" customHeight="false" outlineLevel="0" collapsed="false">
      <c r="A25" s="0" t="s">
        <v>62</v>
      </c>
      <c r="B25" s="0" t="s">
        <v>63</v>
      </c>
      <c r="C25" s="3" t="n">
        <v>670015</v>
      </c>
      <c r="D25" s="3" t="n">
        <v>790041</v>
      </c>
      <c r="E25" s="4" t="s">
        <v>64</v>
      </c>
    </row>
    <row r="26" customFormat="false" ht="15" hidden="false" customHeight="false" outlineLevel="0" collapsed="false">
      <c r="A26" s="0" t="s">
        <v>65</v>
      </c>
      <c r="B26" s="0" t="s">
        <v>66</v>
      </c>
      <c r="C26" s="3" t="n">
        <v>-939563</v>
      </c>
      <c r="D26" s="3" t="n">
        <v>-747196</v>
      </c>
      <c r="E26" s="4" t="s">
        <v>67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3" t="n">
        <v>685334</v>
      </c>
      <c r="D27" s="3" t="n">
        <v>738081</v>
      </c>
      <c r="E27" s="4" t="s">
        <v>67</v>
      </c>
    </row>
    <row r="28" customFormat="false" ht="15" hidden="false" customHeight="false" outlineLevel="0" collapsed="false">
      <c r="A28" s="0" t="s">
        <v>70</v>
      </c>
      <c r="B28" s="0" t="s">
        <v>71</v>
      </c>
      <c r="C28" s="3" t="n">
        <v>-269548</v>
      </c>
      <c r="D28" s="3" t="n">
        <v>41746</v>
      </c>
      <c r="E28" s="4" t="s">
        <v>67</v>
      </c>
    </row>
    <row r="29" customFormat="false" ht="15" hidden="false" customHeight="false" outlineLevel="0" collapsed="false">
      <c r="A29" s="0" t="s">
        <v>72</v>
      </c>
      <c r="B29" s="0" t="s">
        <v>73</v>
      </c>
      <c r="C29" s="3" t="n">
        <v>309620</v>
      </c>
      <c r="D29" s="3" t="n">
        <v>342032</v>
      </c>
      <c r="E29" s="4" t="s">
        <v>74</v>
      </c>
    </row>
    <row r="30" customFormat="false" ht="15" hidden="false" customHeight="false" outlineLevel="0" collapsed="false">
      <c r="A30" s="0" t="s">
        <v>75</v>
      </c>
      <c r="B30" s="0" t="s">
        <v>76</v>
      </c>
      <c r="C30" s="3" t="n">
        <v>256391</v>
      </c>
      <c r="D30" s="3" t="n">
        <v>85031</v>
      </c>
      <c r="E30" s="4" t="s">
        <v>74</v>
      </c>
    </row>
    <row r="31" customFormat="false" ht="15" hidden="false" customHeight="false" outlineLevel="0" collapsed="false">
      <c r="A31" s="0" t="s">
        <v>77</v>
      </c>
      <c r="B31" s="0" t="s">
        <v>78</v>
      </c>
      <c r="C31" s="3" t="n">
        <v>349881</v>
      </c>
      <c r="D31" s="3" t="n">
        <v>447354</v>
      </c>
      <c r="E31" s="4" t="s">
        <v>74</v>
      </c>
    </row>
    <row r="32" customFormat="false" ht="15" hidden="false" customHeight="false" outlineLevel="0" collapsed="false">
      <c r="A32" s="0" t="s">
        <v>79</v>
      </c>
      <c r="B32" s="0" t="s">
        <v>80</v>
      </c>
      <c r="C32" s="3" t="n">
        <v>328708</v>
      </c>
      <c r="D32" s="3"/>
      <c r="E32" s="4" t="s">
        <v>81</v>
      </c>
    </row>
    <row r="33" customFormat="false" ht="15" hidden="false" customHeight="false" outlineLevel="0" collapsed="false">
      <c r="A33" s="0" t="s">
        <v>82</v>
      </c>
      <c r="B33" s="0" t="s">
        <v>83</v>
      </c>
      <c r="C33" s="5" t="n">
        <v>0.15</v>
      </c>
      <c r="D33" s="5" t="n">
        <v>0.15</v>
      </c>
      <c r="E33" s="4" t="s">
        <v>84</v>
      </c>
    </row>
    <row r="34" customFormat="false" ht="15" hidden="false" customHeight="false" outlineLevel="0" collapsed="false">
      <c r="A34" s="0" t="s">
        <v>85</v>
      </c>
      <c r="B34" s="0" t="s">
        <v>86</v>
      </c>
      <c r="C34" s="3" t="n">
        <v>204083020</v>
      </c>
      <c r="D34" s="3"/>
      <c r="E34" s="4" t="s">
        <v>87</v>
      </c>
    </row>
    <row r="35" customFormat="false" ht="15" hidden="false" customHeight="false" outlineLevel="0" collapsed="false">
      <c r="A35" s="0" t="s">
        <v>88</v>
      </c>
      <c r="B35" s="0" t="s">
        <v>89</v>
      </c>
      <c r="C35" s="3" t="n">
        <v>13814281</v>
      </c>
      <c r="D35" s="3" t="n">
        <v>31592000</v>
      </c>
      <c r="E35" s="4" t="s">
        <v>90</v>
      </c>
    </row>
    <row r="36" customFormat="false" ht="15" hidden="false" customHeight="false" outlineLevel="0" collapsed="false">
      <c r="A36" s="0" t="s">
        <v>91</v>
      </c>
      <c r="B36" s="0" t="s">
        <v>92</v>
      </c>
      <c r="C36" s="5" t="n">
        <v>0.036</v>
      </c>
      <c r="D36" s="5" t="n">
        <v>0.036</v>
      </c>
      <c r="E36" s="4" t="s">
        <v>93</v>
      </c>
    </row>
    <row r="37" customFormat="false" ht="15" hidden="false" customHeight="false" outlineLevel="0" collapsed="false">
      <c r="A37" s="0" t="s">
        <v>94</v>
      </c>
      <c r="B37" s="0" t="s">
        <v>95</v>
      </c>
      <c r="C37" s="5" t="n">
        <v>0.0383</v>
      </c>
      <c r="D37" s="3"/>
      <c r="E37" s="4" t="s">
        <v>96</v>
      </c>
    </row>
    <row r="38" customFormat="false" ht="15" hidden="false" customHeight="false" outlineLevel="0" collapsed="false">
      <c r="A38" s="0" t="s">
        <v>97</v>
      </c>
      <c r="B38" s="0" t="s">
        <v>98</v>
      </c>
      <c r="C38" s="3" t="n">
        <v>11754997</v>
      </c>
      <c r="D38" s="3" t="n">
        <v>8910993</v>
      </c>
      <c r="E38" s="4" t="s">
        <v>99</v>
      </c>
    </row>
    <row r="39" customFormat="false" ht="15" hidden="false" customHeight="false" outlineLevel="0" collapsed="false">
      <c r="A39" s="0" t="s">
        <v>100</v>
      </c>
      <c r="B39" s="0" t="s">
        <v>101</v>
      </c>
      <c r="C39" s="3" t="n">
        <v>680000</v>
      </c>
      <c r="D39" s="3" t="n">
        <v>450000</v>
      </c>
      <c r="E39" s="4" t="s">
        <v>102</v>
      </c>
    </row>
    <row r="40" customFormat="false" ht="15" hidden="false" customHeight="false" outlineLevel="0" collapsed="false">
      <c r="A40" s="0" t="s">
        <v>103</v>
      </c>
      <c r="B40" s="0" t="s">
        <v>104</v>
      </c>
      <c r="C40" s="3" t="n">
        <v>567000</v>
      </c>
      <c r="D40" s="3" t="n">
        <v>422000</v>
      </c>
      <c r="E40" s="4" t="s">
        <v>102</v>
      </c>
    </row>
    <row r="41" customFormat="false" ht="15" hidden="false" customHeight="false" outlineLevel="0" collapsed="false">
      <c r="A41" s="0" t="s">
        <v>105</v>
      </c>
      <c r="B41" s="0" t="s">
        <v>106</v>
      </c>
      <c r="C41" s="3" t="n">
        <v>18660</v>
      </c>
      <c r="D41" s="3" t="n">
        <v>15000</v>
      </c>
      <c r="E41" s="4" t="s">
        <v>107</v>
      </c>
    </row>
    <row r="42" customFormat="false" ht="15" hidden="false" customHeight="false" outlineLevel="0" collapsed="false">
      <c r="A42" s="0" t="s">
        <v>108</v>
      </c>
      <c r="B42" s="0" t="s">
        <v>109</v>
      </c>
      <c r="C42" s="3" t="n">
        <v>19910</v>
      </c>
      <c r="D42" s="3"/>
      <c r="E42" s="4" t="s">
        <v>110</v>
      </c>
    </row>
    <row r="43" customFormat="false" ht="15" hidden="false" customHeight="false" outlineLevel="0" collapsed="false">
      <c r="A43" s="0" t="s">
        <v>111</v>
      </c>
      <c r="B43" s="0" t="s">
        <v>112</v>
      </c>
      <c r="C43" s="3" t="n">
        <v>26755</v>
      </c>
      <c r="D43" s="3" t="n">
        <v>18463</v>
      </c>
      <c r="E43" s="4" t="s">
        <v>113</v>
      </c>
    </row>
    <row r="44" customFormat="false" ht="15" hidden="false" customHeight="false" outlineLevel="0" collapsed="false">
      <c r="A44" s="0" t="s">
        <v>114</v>
      </c>
      <c r="B44" s="0" t="s">
        <v>115</v>
      </c>
      <c r="C44" s="3" t="n">
        <v>7786</v>
      </c>
      <c r="D44" s="3" t="n">
        <v>7823</v>
      </c>
      <c r="E44" s="4" t="s">
        <v>113</v>
      </c>
    </row>
    <row r="45" customFormat="false" ht="15" hidden="false" customHeight="false" outlineLevel="0" collapsed="false">
      <c r="A45" s="0" t="s">
        <v>116</v>
      </c>
      <c r="B45" s="0" t="s">
        <v>117</v>
      </c>
      <c r="C45" s="5" t="n">
        <v>0.138</v>
      </c>
      <c r="D45" s="3"/>
      <c r="E45" s="4" t="s">
        <v>118</v>
      </c>
    </row>
    <row r="46" customFormat="false" ht="15" hidden="false" customHeight="false" outlineLevel="0" collapsed="false">
      <c r="A46" s="0" t="s">
        <v>119</v>
      </c>
      <c r="B46" s="0" t="s">
        <v>120</v>
      </c>
      <c r="C46" s="3" t="n">
        <v>1400000</v>
      </c>
      <c r="D46" s="3"/>
      <c r="E46" s="4" t="s">
        <v>121</v>
      </c>
    </row>
    <row r="47" customFormat="false" ht="15" hidden="false" customHeight="false" outlineLevel="0" collapsed="false">
      <c r="A47" s="0" t="s">
        <v>122</v>
      </c>
      <c r="B47" s="0" t="s">
        <v>123</v>
      </c>
      <c r="C47" s="3" t="n">
        <v>979000</v>
      </c>
      <c r="D47" s="3"/>
      <c r="E47" s="4" t="s">
        <v>124</v>
      </c>
    </row>
    <row r="48" customFormat="false" ht="15" hidden="false" customHeight="false" outlineLevel="0" collapsed="false">
      <c r="A48" s="0" t="s">
        <v>125</v>
      </c>
      <c r="B48" s="0" t="s">
        <v>126</v>
      </c>
      <c r="C48" s="3" t="n">
        <v>355800</v>
      </c>
      <c r="D48" s="3" t="n">
        <v>345171</v>
      </c>
      <c r="E48" s="4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0"/>
  </cols>
  <sheetData>
    <row r="1" customFormat="false" ht="15" hidden="false" customHeight="false" outlineLevel="0" collapsed="false">
      <c r="A1" s="1" t="s">
        <v>128</v>
      </c>
    </row>
    <row r="3" customFormat="false" ht="28.35" hidden="false" customHeight="false" outlineLevel="0" collapsed="false">
      <c r="A3" s="2" t="s">
        <v>129</v>
      </c>
      <c r="B3" s="2" t="s">
        <v>130</v>
      </c>
      <c r="C3" s="2" t="s">
        <v>131</v>
      </c>
      <c r="D3" s="2" t="s">
        <v>132</v>
      </c>
      <c r="E3" s="2" t="s">
        <v>133</v>
      </c>
    </row>
    <row r="4" customFormat="false" ht="15" hidden="false" customHeight="false" outlineLevel="0" collapsed="false">
      <c r="A4" s="0" t="s">
        <v>134</v>
      </c>
      <c r="B4" s="6" t="n">
        <f aca="false">Dados_DF!$C$4</f>
        <v>7999560</v>
      </c>
      <c r="C4" s="5" t="n">
        <v>0.01</v>
      </c>
      <c r="D4" s="6" t="n">
        <f aca="false">B4*C4</f>
        <v>79995.6</v>
      </c>
      <c r="E4" s="4" t="s">
        <v>135</v>
      </c>
    </row>
    <row r="5" customFormat="false" ht="15" hidden="false" customHeight="false" outlineLevel="0" collapsed="false">
      <c r="A5" s="0" t="s">
        <v>33</v>
      </c>
      <c r="B5" s="6" t="n">
        <f aca="false">Dados_DF!$C$14</f>
        <v>7647771</v>
      </c>
      <c r="C5" s="5" t="n">
        <v>0.01</v>
      </c>
      <c r="D5" s="6" t="n">
        <f aca="false">B5*C5</f>
        <v>76477.71</v>
      </c>
      <c r="E5" s="4" t="s">
        <v>136</v>
      </c>
    </row>
    <row r="6" customFormat="false" ht="15" hidden="false" customHeight="false" outlineLevel="0" collapsed="false">
      <c r="A6" s="0" t="s">
        <v>137</v>
      </c>
      <c r="B6" s="6" t="n">
        <f aca="false">Dados_DF!$C$17</f>
        <v>546993</v>
      </c>
      <c r="C6" s="5" t="n">
        <v>0.05</v>
      </c>
      <c r="D6" s="6" t="n">
        <f aca="false">B6*C6</f>
        <v>27349.65</v>
      </c>
      <c r="E6" s="4" t="s">
        <v>138</v>
      </c>
    </row>
    <row r="7" customFormat="false" ht="15" hidden="false" customHeight="false" outlineLevel="0" collapsed="false">
      <c r="A7" s="0" t="s">
        <v>139</v>
      </c>
      <c r="B7" s="6" t="n">
        <f aca="false">Dados_DF!$C$18</f>
        <v>571264</v>
      </c>
      <c r="C7" s="5" t="n">
        <v>0.05</v>
      </c>
      <c r="D7" s="6" t="n">
        <f aca="false">B7*C7</f>
        <v>28563.2</v>
      </c>
      <c r="E7" s="4" t="s">
        <v>140</v>
      </c>
    </row>
    <row r="9" customFormat="false" ht="15" hidden="false" customHeight="false" outlineLevel="0" collapsed="false">
      <c r="A9" s="1" t="s">
        <v>141</v>
      </c>
      <c r="D9" s="6" t="n">
        <f aca="false">ROUND(D4,-3)</f>
        <v>80000</v>
      </c>
    </row>
    <row r="10" customFormat="false" ht="15" hidden="false" customHeight="false" outlineLevel="0" collapsed="false">
      <c r="A10" s="0" t="s">
        <v>142</v>
      </c>
      <c r="C10" s="5" t="n">
        <v>0.7</v>
      </c>
    </row>
    <row r="11" customFormat="false" ht="15" hidden="false" customHeight="false" outlineLevel="0" collapsed="false">
      <c r="A11" s="0" t="s">
        <v>143</v>
      </c>
      <c r="D11" s="6" t="n">
        <f aca="false">D9*C10</f>
        <v>56000</v>
      </c>
    </row>
    <row r="12" customFormat="false" ht="15" hidden="false" customHeight="false" outlineLevel="0" collapsed="false">
      <c r="A12" s="0" t="s">
        <v>144</v>
      </c>
      <c r="C12" s="5" t="n">
        <v>0.05</v>
      </c>
      <c r="D12" s="6" t="n">
        <f aca="false">D9*C12</f>
        <v>4000</v>
      </c>
    </row>
    <row r="13" customFormat="false" ht="15" hidden="false" customHeight="false" outlineLevel="0" collapsed="false">
      <c r="A13" s="0" t="s">
        <v>145</v>
      </c>
      <c r="D13" s="6" t="n">
        <f aca="false">ROUND(D6,-1)</f>
        <v>27350</v>
      </c>
    </row>
    <row r="14" customFormat="false" ht="15" hidden="false" customHeight="false" outlineLevel="0" collapsed="false">
      <c r="A14" s="0" t="s">
        <v>146</v>
      </c>
      <c r="D14" s="6" t="n">
        <f aca="false">D13*C10</f>
        <v>19145</v>
      </c>
    </row>
    <row r="15" customFormat="false" ht="15" hidden="false" customHeight="false" outlineLevel="0" collapsed="false">
      <c r="A15" s="0" t="s">
        <v>147</v>
      </c>
      <c r="C15" s="5" t="n">
        <v>0.05</v>
      </c>
      <c r="D15" s="6" t="n">
        <f aca="false">ROUND(Dados_DF!$C$41*C15,0)</f>
        <v>933</v>
      </c>
      <c r="E15" s="4" t="s">
        <v>148</v>
      </c>
    </row>
    <row r="17" customFormat="false" ht="15" hidden="false" customHeight="false" outlineLevel="0" collapsed="false">
      <c r="A17" s="1" t="s">
        <v>149</v>
      </c>
    </row>
    <row r="18" customFormat="false" ht="15" hidden="false" customHeight="false" outlineLevel="0" collapsed="false">
      <c r="A18" s="0" t="s">
        <v>150</v>
      </c>
      <c r="D18" s="7" t="n">
        <f aca="false">D9/Dados_DF!$C$17</f>
        <v>0.146254156817363</v>
      </c>
    </row>
    <row r="19" customFormat="false" ht="15" hidden="false" customHeight="false" outlineLevel="0" collapsed="false">
      <c r="A19" s="0" t="s">
        <v>151</v>
      </c>
      <c r="D19" s="7" t="n">
        <f aca="false">D9/Dados_DF!$C$14</f>
        <v>0.0104605642611422</v>
      </c>
    </row>
    <row r="20" customFormat="false" ht="15" hidden="false" customHeight="false" outlineLevel="0" collapsed="false">
      <c r="A20" s="0" t="s">
        <v>152</v>
      </c>
      <c r="D20" s="7" t="n">
        <f aca="false">D9/Dados_DF!$C$38</f>
        <v>0.00680561636893655</v>
      </c>
    </row>
    <row r="21" customFormat="false" ht="15" hidden="false" customHeight="false" outlineLevel="0" collapsed="false">
      <c r="A21" s="0" t="s">
        <v>153</v>
      </c>
      <c r="D21" s="7" t="n">
        <f aca="false">Dados_DF!$C$8/Dados_DF!$C$4</f>
        <v>0.918144997974889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154</v>
      </c>
    </row>
    <row r="3" customFormat="false" ht="15" hidden="false" customHeight="false" outlineLevel="0" collapsed="false">
      <c r="A3" s="2" t="s">
        <v>155</v>
      </c>
      <c r="B3" s="2" t="s">
        <v>3</v>
      </c>
      <c r="C3" s="2" t="s">
        <v>156</v>
      </c>
    </row>
    <row r="4" customFormat="false" ht="15" hidden="false" customHeight="false" outlineLevel="0" collapsed="false">
      <c r="A4" s="0" t="s">
        <v>157</v>
      </c>
      <c r="B4" s="6" t="n">
        <f aca="false">Dados_DF!$D$8</f>
        <v>8153681</v>
      </c>
      <c r="C4" s="4" t="s">
        <v>158</v>
      </c>
    </row>
    <row r="5" customFormat="false" ht="15" hidden="false" customHeight="false" outlineLevel="0" collapsed="false">
      <c r="A5" s="0" t="s">
        <v>159</v>
      </c>
      <c r="B5" s="6" t="n">
        <f aca="false">Dados_DF!$C$18</f>
        <v>571264</v>
      </c>
      <c r="C5" s="4" t="s">
        <v>160</v>
      </c>
    </row>
    <row r="6" customFormat="false" ht="15" hidden="false" customHeight="false" outlineLevel="0" collapsed="false">
      <c r="A6" s="0" t="s">
        <v>161</v>
      </c>
      <c r="B6" s="6" t="n">
        <f aca="false">Dados_DF!$C$24</f>
        <v>-135589</v>
      </c>
      <c r="C6" s="4" t="s">
        <v>162</v>
      </c>
    </row>
    <row r="7" customFormat="false" ht="15" hidden="false" customHeight="false" outlineLevel="0" collapsed="false">
      <c r="A7" s="0" t="s">
        <v>163</v>
      </c>
      <c r="B7" s="6" t="n">
        <f aca="false">-(Dados_DF!$C$29+Dados_DF!$C$30)</f>
        <v>-566011</v>
      </c>
      <c r="C7" s="4" t="s">
        <v>164</v>
      </c>
    </row>
    <row r="8" customFormat="false" ht="15" hidden="false" customHeight="false" outlineLevel="0" collapsed="false">
      <c r="A8" s="0" t="s">
        <v>165</v>
      </c>
      <c r="B8" s="6" t="n">
        <f aca="false">-(Dados_DF!$C$31+Dados_DF!$C$32)</f>
        <v>-678589</v>
      </c>
      <c r="C8" s="4" t="s">
        <v>164</v>
      </c>
    </row>
    <row r="9" customFormat="false" ht="15" hidden="false" customHeight="false" outlineLevel="0" collapsed="false">
      <c r="A9" s="0" t="s">
        <v>166</v>
      </c>
      <c r="B9" s="6" t="n">
        <f aca="false">SUM(B4:B8)</f>
        <v>7344756</v>
      </c>
    </row>
    <row r="10" customFormat="false" ht="15" hidden="false" customHeight="false" outlineLevel="0" collapsed="false">
      <c r="A10" s="0" t="s">
        <v>167</v>
      </c>
      <c r="B10" s="6" t="n">
        <f aca="false">Dados_DF!$C$8</f>
        <v>7344756</v>
      </c>
      <c r="C10" s="4" t="s">
        <v>168</v>
      </c>
    </row>
    <row r="11" customFormat="false" ht="15" hidden="false" customHeight="false" outlineLevel="0" collapsed="false">
      <c r="A11" s="0" t="s">
        <v>169</v>
      </c>
      <c r="B11" s="6" t="n">
        <f aca="false">B9-B10</f>
        <v>0</v>
      </c>
      <c r="C11" s="4" t="s">
        <v>170</v>
      </c>
    </row>
    <row r="13" customFormat="false" ht="15" hidden="false" customHeight="false" outlineLevel="0" collapsed="false">
      <c r="A13" s="1" t="s">
        <v>171</v>
      </c>
    </row>
    <row r="14" customFormat="false" ht="15" hidden="false" customHeight="false" outlineLevel="0" collapsed="false">
      <c r="A14" s="0" t="s">
        <v>172</v>
      </c>
      <c r="B14" s="8" t="n">
        <f aca="false">Dados_DF!$C$30</f>
        <v>256391</v>
      </c>
    </row>
    <row r="15" customFormat="false" ht="15" hidden="false" customHeight="false" outlineLevel="0" collapsed="false">
      <c r="A15" s="0" t="s">
        <v>173</v>
      </c>
      <c r="B15" s="8" t="n">
        <f aca="false">-B14*Dados_DF!$C$33</f>
        <v>-38458.65</v>
      </c>
      <c r="C15" s="4" t="s">
        <v>174</v>
      </c>
    </row>
    <row r="16" customFormat="false" ht="15" hidden="false" customHeight="false" outlineLevel="0" collapsed="false">
      <c r="A16" s="0" t="s">
        <v>175</v>
      </c>
      <c r="B16" s="8" t="n">
        <f aca="false">Dados_DF!$C$32</f>
        <v>328708</v>
      </c>
    </row>
    <row r="17" customFormat="false" ht="15" hidden="false" customHeight="false" outlineLevel="0" collapsed="false">
      <c r="A17" s="0" t="s">
        <v>176</v>
      </c>
      <c r="B17" s="8" t="n">
        <f aca="false">SUM(B14:B16)</f>
        <v>546640.35</v>
      </c>
    </row>
    <row r="18" customFormat="false" ht="15" hidden="false" customHeight="false" outlineLevel="0" collapsed="false">
      <c r="A18" s="0" t="s">
        <v>177</v>
      </c>
      <c r="B18" s="8" t="n">
        <f aca="false">Dados_DF!$C$7</f>
        <v>546640</v>
      </c>
    </row>
    <row r="19" customFormat="false" ht="15" hidden="false" customHeight="false" outlineLevel="0" collapsed="false">
      <c r="A19" s="0" t="s">
        <v>178</v>
      </c>
      <c r="B19" s="8" t="n">
        <f aca="false">B17-B18</f>
        <v>0.349999999976717</v>
      </c>
      <c r="C19" s="4" t="s">
        <v>179</v>
      </c>
    </row>
    <row r="20" customFormat="false" ht="15" hidden="false" customHeight="false" outlineLevel="0" collapsed="false">
      <c r="A20" s="0" t="s">
        <v>180</v>
      </c>
      <c r="B20" s="8" t="n">
        <f aca="false">Dados_DF!$D$30*(1-Dados_DF!$D$33)</f>
        <v>72276.35</v>
      </c>
    </row>
    <row r="21" customFormat="false" ht="15" hidden="false" customHeight="false" outlineLevel="0" collapsed="false">
      <c r="A21" s="0" t="s">
        <v>181</v>
      </c>
      <c r="B21" s="8" t="n">
        <f aca="false">Dados_DF!$D$7</f>
        <v>72276</v>
      </c>
    </row>
    <row r="22" customFormat="false" ht="15" hidden="false" customHeight="false" outlineLevel="0" collapsed="false">
      <c r="A22" s="0" t="s">
        <v>182</v>
      </c>
      <c r="B22" s="8" t="n">
        <f aca="false">B20-B21</f>
        <v>0.349999999991269</v>
      </c>
    </row>
    <row r="24" customFormat="false" ht="15" hidden="false" customHeight="false" outlineLevel="0" collapsed="false">
      <c r="A24" s="1" t="s">
        <v>183</v>
      </c>
    </row>
    <row r="25" customFormat="false" ht="15" hidden="false" customHeight="false" outlineLevel="0" collapsed="false">
      <c r="A25" s="0" t="s">
        <v>184</v>
      </c>
      <c r="B25" s="8" t="n">
        <f aca="false">Dados_DF!$C$29</f>
        <v>309620</v>
      </c>
    </row>
    <row r="26" customFormat="false" ht="15" hidden="false" customHeight="false" outlineLevel="0" collapsed="false">
      <c r="A26" s="0" t="s">
        <v>185</v>
      </c>
      <c r="B26" s="8" t="n">
        <f aca="false">-B25*Dados_DF!$C$33</f>
        <v>-46443</v>
      </c>
    </row>
    <row r="27" customFormat="false" ht="15" hidden="false" customHeight="false" outlineLevel="0" collapsed="false">
      <c r="A27" s="0" t="s">
        <v>186</v>
      </c>
      <c r="B27" s="8" t="n">
        <f aca="false">Dados_DF!$C$31</f>
        <v>349881</v>
      </c>
    </row>
    <row r="28" customFormat="false" ht="15" hidden="false" customHeight="false" outlineLevel="0" collapsed="false">
      <c r="A28" s="0" t="s">
        <v>187</v>
      </c>
      <c r="B28" s="8" t="n">
        <f aca="false">Dados_DF!$D$7</f>
        <v>72276</v>
      </c>
    </row>
    <row r="29" customFormat="false" ht="15" hidden="false" customHeight="false" outlineLevel="0" collapsed="false">
      <c r="A29" s="0" t="s">
        <v>188</v>
      </c>
      <c r="B29" s="8" t="n">
        <f aca="false">SUM(B25:B28)</f>
        <v>685334</v>
      </c>
    </row>
    <row r="30" customFormat="false" ht="15" hidden="false" customHeight="false" outlineLevel="0" collapsed="false">
      <c r="A30" s="0" t="s">
        <v>189</v>
      </c>
      <c r="B30" s="8" t="n">
        <f aca="false">Dados_DF!$C$27</f>
        <v>685334</v>
      </c>
    </row>
    <row r="31" customFormat="false" ht="15" hidden="false" customHeight="false" outlineLevel="0" collapsed="false">
      <c r="A31" s="0" t="s">
        <v>190</v>
      </c>
      <c r="B31" s="8" t="n">
        <f aca="false">B29-B30</f>
        <v>0</v>
      </c>
    </row>
    <row r="33" customFormat="false" ht="15" hidden="false" customHeight="false" outlineLevel="0" collapsed="false">
      <c r="A33" s="1" t="s">
        <v>191</v>
      </c>
    </row>
    <row r="34" customFormat="false" ht="15" hidden="false" customHeight="false" outlineLevel="0" collapsed="false">
      <c r="A34" s="0" t="s">
        <v>192</v>
      </c>
      <c r="B34" s="8" t="n">
        <f aca="false">Dados_DF!$C$36*Dados_DF!$C$34</f>
        <v>7346988.72</v>
      </c>
    </row>
    <row r="35" customFormat="false" ht="15" hidden="false" customHeight="false" outlineLevel="0" collapsed="false">
      <c r="A35" s="0" t="s">
        <v>193</v>
      </c>
      <c r="B35" s="8" t="n">
        <f aca="false">Dados_DF!$C$8</f>
        <v>7344756</v>
      </c>
    </row>
    <row r="36" customFormat="false" ht="15" hidden="false" customHeight="false" outlineLevel="0" collapsed="false">
      <c r="A36" s="0" t="s">
        <v>194</v>
      </c>
      <c r="B36" s="8" t="n">
        <f aca="false">B35-B34</f>
        <v>-2232.71999999974</v>
      </c>
    </row>
    <row r="37" customFormat="false" ht="15" hidden="false" customHeight="false" outlineLevel="0" collapsed="false">
      <c r="A37" s="0" t="s">
        <v>195</v>
      </c>
      <c r="B37" s="7" t="n">
        <f aca="false">B36/B35</f>
        <v>-0.00030398831492833</v>
      </c>
    </row>
    <row r="38" customFormat="false" ht="15" hidden="false" customHeight="false" outlineLevel="0" collapsed="false">
      <c r="A38" s="0" t="s">
        <v>196</v>
      </c>
      <c r="B38" s="8" t="n">
        <f aca="false">Dados_DF!$C$38</f>
        <v>11754997</v>
      </c>
    </row>
    <row r="39" customFormat="false" ht="15" hidden="false" customHeight="false" outlineLevel="0" collapsed="false">
      <c r="A39" s="0" t="s">
        <v>197</v>
      </c>
      <c r="B39" s="9" t="n">
        <f aca="false">B38/B35</f>
        <v>1.60046119980024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0"/>
  </cols>
  <sheetData>
    <row r="1" customFormat="false" ht="1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0" t="s">
        <v>199</v>
      </c>
    </row>
    <row r="4" customFormat="false" ht="28.35" hidden="false" customHeight="false" outlineLevel="0" collapsed="false">
      <c r="A4" s="2" t="s">
        <v>200</v>
      </c>
      <c r="B4" s="2" t="s">
        <v>201</v>
      </c>
      <c r="C4" s="2" t="s">
        <v>202</v>
      </c>
      <c r="D4" s="2" t="s">
        <v>194</v>
      </c>
      <c r="E4" s="2" t="s">
        <v>203</v>
      </c>
      <c r="F4" s="2" t="s">
        <v>204</v>
      </c>
      <c r="G4" s="2" t="s">
        <v>205</v>
      </c>
      <c r="H4" s="2" t="s">
        <v>133</v>
      </c>
    </row>
    <row r="5" customFormat="false" ht="15" hidden="false" customHeight="false" outlineLevel="0" collapsed="false">
      <c r="A5" s="0" t="s">
        <v>206</v>
      </c>
      <c r="B5" s="6" t="n">
        <f aca="false">Dados_DF!$C$36*Dados_DF!$C$35</f>
        <v>497314.116</v>
      </c>
      <c r="C5" s="6" t="n">
        <f aca="false">Dados_DF!$C$18</f>
        <v>571264</v>
      </c>
      <c r="D5" s="6" t="n">
        <f aca="false">C5-B5</f>
        <v>73949.884</v>
      </c>
      <c r="E5" s="7" t="n">
        <f aca="false">IF(C5=0,0,D5/C5)</f>
        <v>0.129449578478602</v>
      </c>
      <c r="F5" s="6" t="n">
        <f aca="false">Materialidade!$D$14</f>
        <v>19145</v>
      </c>
      <c r="G5" s="0" t="str">
        <f aca="false">IF(ABS(D5)&gt;F5,"SIM","não")</f>
        <v>SIM</v>
      </c>
      <c r="H5" s="4" t="s">
        <v>207</v>
      </c>
    </row>
    <row r="6" customFormat="false" ht="15" hidden="false" customHeight="false" outlineLevel="0" collapsed="false">
      <c r="A6" s="0" t="s">
        <v>208</v>
      </c>
      <c r="B6" s="6" t="n">
        <f aca="false">Dados_DF!$C$37*Dados_DF!$C$35</f>
        <v>529086.9623</v>
      </c>
      <c r="C6" s="6" t="n">
        <f aca="false">Dados_DF!$C$18</f>
        <v>571264</v>
      </c>
      <c r="D6" s="6" t="n">
        <f aca="false">C6-B6</f>
        <v>42177.0377</v>
      </c>
      <c r="E6" s="7" t="n">
        <f aca="false">IF(C6=0,0,D6/C6)</f>
        <v>0.0738310793258458</v>
      </c>
      <c r="F6" s="6" t="n">
        <f aca="false">Materialidade!$D$14</f>
        <v>19145</v>
      </c>
      <c r="G6" s="0" t="str">
        <f aca="false">IF(ABS(D6)&gt;F6,"SIM","não")</f>
        <v>SIM</v>
      </c>
      <c r="H6" s="4" t="s">
        <v>209</v>
      </c>
    </row>
    <row r="7" customFormat="false" ht="15" hidden="false" customHeight="false" outlineLevel="0" collapsed="false">
      <c r="A7" s="0" t="s">
        <v>210</v>
      </c>
      <c r="B7" s="6" t="n">
        <f aca="false">Dados_DF!$C$36*Dados_DF!$C$34</f>
        <v>7346988.72</v>
      </c>
      <c r="C7" s="6" t="n">
        <f aca="false">Dados_DF!$C$8</f>
        <v>7344756</v>
      </c>
      <c r="D7" s="6" t="n">
        <f aca="false">C7-B7</f>
        <v>-2232.71999999974</v>
      </c>
      <c r="E7" s="7" t="n">
        <f aca="false">IF(C7=0,0,D7/C7)</f>
        <v>-0.00030398831492833</v>
      </c>
      <c r="F7" s="6" t="n">
        <f aca="false">Materialidade!$D$14</f>
        <v>19145</v>
      </c>
      <c r="G7" s="0" t="str">
        <f aca="false">IF(ABS(D7)&gt;F7,"SIM","não")</f>
        <v>não</v>
      </c>
      <c r="H7" s="4" t="s">
        <v>211</v>
      </c>
    </row>
    <row r="8" customFormat="false" ht="15" hidden="false" customHeight="false" outlineLevel="0" collapsed="false">
      <c r="A8" s="0" t="s">
        <v>212</v>
      </c>
      <c r="B8" s="6" t="n">
        <f aca="false">Dados_DF!$C$45*AVERAGE(Dados_DF!$C$6,Dados_DF!$D$6)</f>
        <v>21138.288</v>
      </c>
      <c r="C8" s="6" t="n">
        <f aca="false">Dados_DF!$C$22</f>
        <v>55506</v>
      </c>
      <c r="D8" s="6" t="n">
        <f aca="false">C8-B8</f>
        <v>34367.712</v>
      </c>
      <c r="E8" s="7" t="n">
        <f aca="false">IF(C8=0,0,D8/C8)</f>
        <v>0.619171116636039</v>
      </c>
      <c r="F8" s="6" t="n">
        <f aca="false">Materialidade!$D$14</f>
        <v>19145</v>
      </c>
      <c r="G8" s="0" t="str">
        <f aca="false">IF(ABS(D8)&gt;F8,"SIM","não")</f>
        <v>SIM</v>
      </c>
      <c r="H8" s="4" t="s">
        <v>213</v>
      </c>
    </row>
    <row r="9" customFormat="false" ht="15" hidden="false" customHeight="false" outlineLevel="0" collapsed="false">
      <c r="A9" s="0" t="s">
        <v>214</v>
      </c>
      <c r="B9" s="6" t="n">
        <f aca="false">Dados_DF!$C$43+Dados_DF!$D$44</f>
        <v>34578</v>
      </c>
      <c r="C9" s="6" t="n">
        <f aca="false">-Dados_DF!$C$19</f>
        <v>34541</v>
      </c>
      <c r="D9" s="6" t="n">
        <f aca="false">C9-B9</f>
        <v>-37</v>
      </c>
      <c r="E9" s="7" t="n">
        <f aca="false">IF(C9=0,0,D9/C9)</f>
        <v>-0.00107119075880837</v>
      </c>
      <c r="F9" s="6" t="n">
        <f aca="false">Materialidade!$D$14</f>
        <v>19145</v>
      </c>
      <c r="G9" s="0" t="str">
        <f aca="false">IF(ABS(D9)&gt;F9,"SIM","não")</f>
        <v>não</v>
      </c>
      <c r="H9" s="4" t="s">
        <v>215</v>
      </c>
    </row>
    <row r="10" customFormat="false" ht="15" hidden="false" customHeight="false" outlineLevel="0" collapsed="false">
      <c r="A10" s="0" t="s">
        <v>216</v>
      </c>
      <c r="B10" s="6" t="n">
        <f aca="false">Dados_DF!$C$42</f>
        <v>19910</v>
      </c>
      <c r="C10" s="6" t="n">
        <f aca="false">Dados_DF!$C$41</f>
        <v>18660</v>
      </c>
      <c r="D10" s="6" t="n">
        <f aca="false">C10-B10</f>
        <v>-1250</v>
      </c>
      <c r="E10" s="7" t="n">
        <f aca="false">IF(C10=0,0,D10/C10)</f>
        <v>-0.0669882100750268</v>
      </c>
      <c r="F10" s="6" t="n">
        <f aca="false">Materialidade!$D$14</f>
        <v>19145</v>
      </c>
      <c r="G10" s="0" t="str">
        <f aca="false">IF(ABS(D10)&gt;F10,"SIM","não")</f>
        <v>não</v>
      </c>
      <c r="H10" s="4" t="s">
        <v>217</v>
      </c>
    </row>
    <row r="11" customFormat="false" ht="15" hidden="false" customHeight="false" outlineLevel="0" collapsed="false">
      <c r="A11" s="0" t="s">
        <v>218</v>
      </c>
      <c r="B11" s="6" t="n">
        <f aca="false">Dados_DF!$C$25+Dados_DF!$C$26</f>
        <v>-269548</v>
      </c>
      <c r="C11" s="6" t="n">
        <f aca="false">Dados_DF!$C$28</f>
        <v>-269548</v>
      </c>
      <c r="D11" s="6" t="n">
        <f aca="false">C11-B11</f>
        <v>0</v>
      </c>
      <c r="E11" s="7" t="n">
        <f aca="false">IF(C11=0,0,D11/C11)</f>
        <v>-0</v>
      </c>
      <c r="F11" s="6" t="n">
        <f aca="false">Materialidade!$D$14</f>
        <v>19145</v>
      </c>
      <c r="G11" s="0" t="str">
        <f aca="false">IF(ABS(D11)&gt;F11,"SIM","não")</f>
        <v>não</v>
      </c>
      <c r="H11" s="4" t="s">
        <v>219</v>
      </c>
    </row>
    <row r="12" customFormat="false" ht="15" hidden="false" customHeight="false" outlineLevel="0" collapsed="false">
      <c r="A12" s="0" t="s">
        <v>220</v>
      </c>
      <c r="B12" s="6" t="n">
        <f aca="false">Dados_DF!$D$6+Dados_DF!$C$28</f>
        <v>18402</v>
      </c>
      <c r="C12" s="6" t="n">
        <f aca="false">Dados_DF!$C$6</f>
        <v>18402</v>
      </c>
      <c r="D12" s="6" t="n">
        <f aca="false">C12-B12</f>
        <v>0</v>
      </c>
      <c r="E12" s="7" t="n">
        <f aca="false">IF(C12=0,0,D12/C12)</f>
        <v>0</v>
      </c>
      <c r="F12" s="6" t="n">
        <f aca="false">Materialidade!$D$14</f>
        <v>19145</v>
      </c>
      <c r="G12" s="0" t="str">
        <f aca="false">IF(ABS(D12)&gt;F12,"SIM","não")</f>
        <v>não</v>
      </c>
      <c r="H12" s="4" t="s">
        <v>221</v>
      </c>
    </row>
    <row r="13" customFormat="false" ht="15" hidden="false" customHeight="false" outlineLevel="0" collapsed="false">
      <c r="A13" s="0" t="s">
        <v>222</v>
      </c>
      <c r="B13" s="6" t="n">
        <f aca="false">1247000</f>
        <v>1247000</v>
      </c>
      <c r="C13" s="6" t="n">
        <f aca="false">Dados_DF!$C$39+Dados_DF!$C$40</f>
        <v>1247000</v>
      </c>
      <c r="D13" s="6" t="n">
        <f aca="false">C13-B13</f>
        <v>0</v>
      </c>
      <c r="E13" s="7" t="n">
        <f aca="false">IF(C13=0,0,D13/C13)</f>
        <v>0</v>
      </c>
      <c r="F13" s="6" t="n">
        <f aca="false">Materialidade!$D$14</f>
        <v>19145</v>
      </c>
      <c r="G13" s="0" t="str">
        <f aca="false">IF(ABS(D13)&gt;F13,"SIM","não")</f>
        <v>não</v>
      </c>
      <c r="H13" s="4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224</v>
      </c>
    </row>
    <row r="3" customFormat="false" ht="15" hidden="false" customHeight="false" outlineLevel="0" collapsed="false">
      <c r="A3" s="2" t="s">
        <v>225</v>
      </c>
      <c r="B3" s="2" t="s">
        <v>3</v>
      </c>
      <c r="C3" s="2" t="s">
        <v>4</v>
      </c>
      <c r="D3" s="2" t="s">
        <v>133</v>
      </c>
    </row>
    <row r="4" customFormat="false" ht="15" hidden="false" customHeight="false" outlineLevel="0" collapsed="false">
      <c r="A4" s="0" t="s">
        <v>226</v>
      </c>
      <c r="B4" s="9" t="n">
        <f aca="false">Dados_DF!$C$5/Dados_DF!$C$12</f>
        <v>1.6247667622139</v>
      </c>
      <c r="C4" s="9" t="n">
        <f aca="false">Dados_DF!$D$5/Dados_DF!$D$12</f>
        <v>2.97013474780088</v>
      </c>
      <c r="D4" s="4" t="s">
        <v>227</v>
      </c>
    </row>
    <row r="5" customFormat="false" ht="15" hidden="false" customHeight="false" outlineLevel="0" collapsed="false">
      <c r="A5" s="0" t="s">
        <v>228</v>
      </c>
      <c r="B5" s="9" t="n">
        <f aca="false">Dados_DF!$C$6/Dados_DF!$C$12</f>
        <v>0.05290652375791</v>
      </c>
      <c r="C5" s="9" t="n">
        <f aca="false">Dados_DF!$D$6/Dados_DF!$D$12</f>
        <v>2.3716766052779</v>
      </c>
      <c r="D5" s="4" t="s">
        <v>229</v>
      </c>
    </row>
    <row r="6" customFormat="false" ht="15" hidden="false" customHeight="false" outlineLevel="0" collapsed="false">
      <c r="A6" s="0" t="s">
        <v>230</v>
      </c>
      <c r="B6" s="9" t="n">
        <f aca="false">(Dados_DF!$C$6+Dados_DF!$C$7)/Dados_DF!$C$15</f>
        <v>1.78492748678778</v>
      </c>
      <c r="C6" s="9" t="n">
        <f aca="false">(Dados_DF!$D$6+Dados_DF!$D$7)/Dados_DF!$D$15</f>
        <v>4.09645651382824</v>
      </c>
      <c r="D6" s="4" t="s">
        <v>231</v>
      </c>
    </row>
    <row r="7" customFormat="false" ht="15" hidden="false" customHeight="false" outlineLevel="0" collapsed="false">
      <c r="A7" s="0" t="s">
        <v>232</v>
      </c>
      <c r="B7" s="6" t="n">
        <v>0</v>
      </c>
      <c r="C7" s="6" t="n">
        <v>0</v>
      </c>
      <c r="D7" s="4" t="s">
        <v>233</v>
      </c>
    </row>
    <row r="8" customFormat="false" ht="15" hidden="false" customHeight="false" outlineLevel="0" collapsed="false">
      <c r="A8" s="0" t="s">
        <v>234</v>
      </c>
      <c r="B8" s="9" t="n">
        <f aca="false">Dados_DF!$C$25/-Dados_DF!$C$26</f>
        <v>0.713113436778588</v>
      </c>
      <c r="C8" s="9" t="n">
        <f aca="false">Dados_DF!$D$25/-Dados_DF!$D$26</f>
        <v>1.05734104572294</v>
      </c>
      <c r="D8" s="4" t="s">
        <v>235</v>
      </c>
    </row>
    <row r="9" customFormat="false" ht="15" hidden="false" customHeight="false" outlineLevel="0" collapsed="false">
      <c r="A9" s="0" t="s">
        <v>236</v>
      </c>
      <c r="B9" s="6" t="n">
        <f aca="false">Dados_DF!$C$46+Dados_DF!$C$47</f>
        <v>2379000</v>
      </c>
      <c r="D9" s="4" t="s">
        <v>237</v>
      </c>
    </row>
    <row r="10" customFormat="false" ht="15" hidden="false" customHeight="false" outlineLevel="0" collapsed="false">
      <c r="A10" s="0" t="s">
        <v>238</v>
      </c>
      <c r="B10" s="7" t="n">
        <f aca="false">B9/Dados_DF!$C$14</f>
        <v>0.311071029715717</v>
      </c>
    </row>
    <row r="11" customFormat="false" ht="15" hidden="false" customHeight="false" outlineLevel="0" collapsed="false">
      <c r="A11" s="0" t="s">
        <v>239</v>
      </c>
      <c r="B11" s="7" t="n">
        <f aca="false">B9/Dados_DF!$C$38</f>
        <v>0.202382016771251</v>
      </c>
      <c r="D11" s="4" t="s">
        <v>240</v>
      </c>
    </row>
    <row r="12" customFormat="false" ht="15" hidden="false" customHeight="false" outlineLevel="0" collapsed="false">
      <c r="A12" s="0" t="s">
        <v>241</v>
      </c>
      <c r="B12" s="10" t="n">
        <f aca="false">B9/Dados_DF!$C$6</f>
        <v>129.279426149332</v>
      </c>
      <c r="D12" s="4" t="s">
        <v>242</v>
      </c>
    </row>
    <row r="13" customFormat="false" ht="15" hidden="false" customHeight="false" outlineLevel="0" collapsed="false">
      <c r="A13" s="0" t="s">
        <v>126</v>
      </c>
      <c r="B13" s="6" t="n">
        <f aca="false">Dados_DF!$C$48</f>
        <v>355800</v>
      </c>
      <c r="C13" s="6" t="n">
        <f aca="false">Dados_DF!$D$48</f>
        <v>345171</v>
      </c>
      <c r="D13" s="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1" t="s">
        <v>244</v>
      </c>
    </row>
    <row r="3" customFormat="false" ht="15" hidden="false" customHeight="false" outlineLevel="0" collapsed="false">
      <c r="A3" s="0" t="s">
        <v>245</v>
      </c>
      <c r="B3" s="3" t="n">
        <v>7372273191.32</v>
      </c>
    </row>
    <row r="4" customFormat="false" ht="15" hidden="false" customHeight="false" outlineLevel="0" collapsed="false">
      <c r="A4" s="0" t="s">
        <v>246</v>
      </c>
      <c r="B4" s="6" t="n">
        <f aca="false">Materialidade!D11*1000</f>
        <v>56000000</v>
      </c>
    </row>
    <row r="5" customFormat="false" ht="15" hidden="false" customHeight="false" outlineLevel="0" collapsed="false">
      <c r="A5" s="0" t="s">
        <v>247</v>
      </c>
      <c r="B5" s="3" t="n">
        <v>5000000</v>
      </c>
    </row>
    <row r="6" customFormat="false" ht="15" hidden="false" customHeight="false" outlineLevel="0" collapsed="false">
      <c r="A6" s="0" t="s">
        <v>248</v>
      </c>
      <c r="B6" s="11" t="n">
        <v>2.9957</v>
      </c>
    </row>
    <row r="7" customFormat="false" ht="15" hidden="false" customHeight="false" outlineLevel="0" collapsed="false">
      <c r="A7" s="0" t="s">
        <v>249</v>
      </c>
      <c r="B7" s="11" t="n">
        <v>1.6</v>
      </c>
    </row>
    <row r="8" customFormat="false" ht="15" hidden="false" customHeight="false" outlineLevel="0" collapsed="false">
      <c r="A8" s="0" t="s">
        <v>250</v>
      </c>
      <c r="B8" s="0" t="n">
        <f aca="false">ROUNDUP(B3*B6/(B4-B5*B7),0)</f>
        <v>461</v>
      </c>
    </row>
    <row r="9" customFormat="false" ht="15" hidden="false" customHeight="false" outlineLevel="0" collapsed="false">
      <c r="A9" s="0" t="s">
        <v>251</v>
      </c>
      <c r="B9" s="6" t="n">
        <f aca="false">B3/B8</f>
        <v>15991915.8163124</v>
      </c>
    </row>
    <row r="11" customFormat="false" ht="15" hidden="false" customHeight="false" outlineLevel="0" collapsed="false">
      <c r="A11" s="1" t="s">
        <v>252</v>
      </c>
    </row>
    <row r="12" customFormat="false" ht="15" hidden="false" customHeight="false" outlineLevel="0" collapsed="false">
      <c r="A12" s="0" t="s">
        <v>245</v>
      </c>
      <c r="B12" s="0" t="n">
        <v>7372273191.32</v>
      </c>
    </row>
    <row r="13" customFormat="false" ht="15" hidden="false" customHeight="false" outlineLevel="0" collapsed="false">
      <c r="A13" s="0" t="s">
        <v>253</v>
      </c>
      <c r="B13" s="0" t="n">
        <v>80000000</v>
      </c>
    </row>
    <row r="14" customFormat="false" ht="15" hidden="false" customHeight="false" outlineLevel="0" collapsed="false">
      <c r="A14" s="0" t="s">
        <v>254</v>
      </c>
      <c r="B14" s="0" t="n">
        <v>56000000</v>
      </c>
    </row>
    <row r="15" customFormat="false" ht="15" hidden="false" customHeight="false" outlineLevel="0" collapsed="false">
      <c r="A15" s="0" t="s">
        <v>255</v>
      </c>
      <c r="B15" s="0" t="n">
        <v>5000000</v>
      </c>
    </row>
    <row r="16" customFormat="false" ht="15" hidden="false" customHeight="false" outlineLevel="0" collapsed="false">
      <c r="A16" s="0" t="s">
        <v>256</v>
      </c>
      <c r="B16" s="0" t="n">
        <v>2.9957</v>
      </c>
    </row>
    <row r="17" customFormat="false" ht="15" hidden="false" customHeight="false" outlineLevel="0" collapsed="false">
      <c r="A17" s="0" t="s">
        <v>257</v>
      </c>
      <c r="B17" s="0" t="n">
        <v>1.6</v>
      </c>
    </row>
    <row r="18" customFormat="false" ht="15" hidden="false" customHeight="false" outlineLevel="0" collapsed="false">
      <c r="A18" s="0" t="s">
        <v>258</v>
      </c>
      <c r="B18" s="0" t="n">
        <v>461</v>
      </c>
    </row>
    <row r="19" customFormat="false" ht="15" hidden="false" customHeight="false" outlineLevel="0" collapsed="false">
      <c r="A19" s="0" t="s">
        <v>251</v>
      </c>
      <c r="B19" s="0" t="n">
        <v>15991915.82</v>
      </c>
    </row>
    <row r="20" customFormat="false" ht="15" hidden="false" customHeight="false" outlineLevel="0" collapsed="false">
      <c r="A20" s="0" t="s">
        <v>259</v>
      </c>
      <c r="B20" s="0" t="n">
        <v>0</v>
      </c>
    </row>
    <row r="21" customFormat="false" ht="15" hidden="false" customHeight="false" outlineLevel="0" collapsed="false">
      <c r="A21" s="0" t="s">
        <v>260</v>
      </c>
      <c r="B21" s="0" t="n">
        <v>461</v>
      </c>
    </row>
    <row r="22" customFormat="false" ht="15" hidden="false" customHeight="false" outlineLevel="0" collapsed="false">
      <c r="A22" s="0" t="s">
        <v>261</v>
      </c>
      <c r="B22" s="0" t="n">
        <v>461</v>
      </c>
    </row>
    <row r="23" customFormat="false" ht="15" hidden="false" customHeight="false" outlineLevel="0" collapsed="false">
      <c r="A23" s="0" t="s">
        <v>262</v>
      </c>
      <c r="B23" s="0" t="n">
        <v>9799321.59</v>
      </c>
    </row>
    <row r="24" customFormat="false" ht="15" hidden="false" customHeight="false" outlineLevel="0" collapsed="false">
      <c r="A24" s="0" t="s">
        <v>263</v>
      </c>
      <c r="B24" s="0" t="n">
        <v>1</v>
      </c>
    </row>
    <row r="25" customFormat="false" ht="15" hidden="false" customHeight="false" outlineLevel="0" collapsed="false">
      <c r="A25" s="0" t="s">
        <v>264</v>
      </c>
      <c r="B25" s="0" t="n">
        <v>0</v>
      </c>
    </row>
    <row r="26" customFormat="false" ht="15" hidden="false" customHeight="false" outlineLevel="0" collapsed="false">
      <c r="A26" s="0" t="s">
        <v>265</v>
      </c>
      <c r="B26" s="0" t="n">
        <v>1198595.16</v>
      </c>
    </row>
    <row r="27" customFormat="false" ht="15" hidden="false" customHeight="false" outlineLevel="0" collapsed="false">
      <c r="A27" s="0" t="s">
        <v>266</v>
      </c>
      <c r="B27" s="0" t="n">
        <v>14392724.23</v>
      </c>
    </row>
    <row r="28" customFormat="false" ht="15" hidden="false" customHeight="false" outlineLevel="0" collapsed="false">
      <c r="A28" s="0" t="s">
        <v>267</v>
      </c>
      <c r="B28" s="0" t="n">
        <v>73067883.65</v>
      </c>
    </row>
    <row r="29" customFormat="false" ht="15" hidden="false" customHeight="false" outlineLevel="0" collapsed="false">
      <c r="A29" s="0" t="s">
        <v>268</v>
      </c>
      <c r="B29" s="0" t="n">
        <v>1.305</v>
      </c>
    </row>
    <row r="30" customFormat="false" ht="15" hidden="false" customHeight="false" outlineLevel="0" collapsed="false">
      <c r="A30" s="0" t="s">
        <v>269</v>
      </c>
      <c r="B30" s="0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271</v>
      </c>
    </row>
    <row r="3" customFormat="false" ht="28.35" hidden="false" customHeight="false" outlineLevel="0" collapsed="false">
      <c r="A3" s="2" t="s">
        <v>272</v>
      </c>
      <c r="B3" s="2" t="s">
        <v>273</v>
      </c>
      <c r="C3" s="2" t="s">
        <v>274</v>
      </c>
      <c r="D3" s="2" t="s">
        <v>275</v>
      </c>
      <c r="E3" s="2" t="s">
        <v>276</v>
      </c>
      <c r="F3" s="2" t="s">
        <v>277</v>
      </c>
      <c r="G3" s="2" t="s">
        <v>278</v>
      </c>
      <c r="H3" s="2" t="s">
        <v>279</v>
      </c>
    </row>
    <row r="4" customFormat="false" ht="15" hidden="false" customHeight="false" outlineLevel="0" collapsed="false">
      <c r="A4" s="0" t="s">
        <v>280</v>
      </c>
      <c r="B4" s="0" t="n">
        <v>400</v>
      </c>
      <c r="C4" s="0" t="s">
        <v>281</v>
      </c>
      <c r="D4" s="8" t="n">
        <v>120487.18</v>
      </c>
      <c r="E4" s="0" t="n">
        <v>400</v>
      </c>
      <c r="F4" s="0" t="n">
        <v>0</v>
      </c>
      <c r="G4" s="0" t="n">
        <v>0</v>
      </c>
      <c r="H4" s="8" t="n">
        <v>100</v>
      </c>
    </row>
    <row r="5" customFormat="false" ht="15" hidden="false" customHeight="false" outlineLevel="0" collapsed="false">
      <c r="A5" s="0" t="s">
        <v>282</v>
      </c>
      <c r="B5" s="0" t="n">
        <v>300</v>
      </c>
      <c r="C5" s="0" t="s">
        <v>281</v>
      </c>
      <c r="D5" s="8" t="n">
        <v>-9685.25</v>
      </c>
      <c r="E5" s="0" t="n">
        <v>300</v>
      </c>
      <c r="F5" s="0" t="n">
        <v>0</v>
      </c>
      <c r="G5" s="0" t="n">
        <v>0</v>
      </c>
      <c r="H5" s="8" t="n">
        <v>100</v>
      </c>
    </row>
    <row r="6" customFormat="false" ht="15" hidden="false" customHeight="false" outlineLevel="0" collapsed="false">
      <c r="A6" s="0" t="s">
        <v>283</v>
      </c>
      <c r="B6" s="0" t="n">
        <v>350</v>
      </c>
      <c r="C6" s="0" t="s">
        <v>281</v>
      </c>
      <c r="D6" s="8" t="n">
        <v>13918505.08</v>
      </c>
      <c r="E6" s="0" t="n">
        <v>350</v>
      </c>
      <c r="F6" s="0" t="n">
        <v>1</v>
      </c>
      <c r="G6" s="0" t="n">
        <v>1</v>
      </c>
      <c r="H6" s="8" t="n">
        <v>100</v>
      </c>
    </row>
    <row r="7" customFormat="false" ht="15" hidden="false" customHeight="false" outlineLevel="0" collapsed="false">
      <c r="A7" s="0" t="s">
        <v>284</v>
      </c>
      <c r="B7" s="0" t="n">
        <v>300</v>
      </c>
      <c r="C7" s="0" t="s">
        <v>281</v>
      </c>
      <c r="D7" s="8" t="n">
        <v>4759984.35</v>
      </c>
      <c r="E7" s="0" t="n">
        <v>300</v>
      </c>
      <c r="F7" s="0" t="n">
        <v>0</v>
      </c>
      <c r="G7" s="0" t="n">
        <v>0</v>
      </c>
      <c r="H7" s="8" t="n">
        <v>100</v>
      </c>
    </row>
    <row r="8" customFormat="false" ht="15" hidden="false" customHeight="false" outlineLevel="0" collapsed="false">
      <c r="A8" s="0" t="s">
        <v>285</v>
      </c>
      <c r="B8" s="0" t="n">
        <v>150</v>
      </c>
      <c r="C8" s="0" t="s">
        <v>286</v>
      </c>
      <c r="D8" s="8" t="n">
        <v>172027.94</v>
      </c>
      <c r="E8" s="0" t="n">
        <v>150</v>
      </c>
      <c r="F8" s="0" t="n">
        <v>0</v>
      </c>
      <c r="G8" s="0" t="n">
        <v>0</v>
      </c>
      <c r="H8" s="8" t="n">
        <v>100</v>
      </c>
    </row>
    <row r="9" customFormat="false" ht="15" hidden="false" customHeight="false" outlineLevel="0" collapsed="false">
      <c r="A9" s="0" t="s">
        <v>287</v>
      </c>
      <c r="B9" s="0" t="n">
        <v>200</v>
      </c>
      <c r="C9" s="0" t="s">
        <v>281</v>
      </c>
      <c r="D9" s="8" t="n">
        <v>8365652.19</v>
      </c>
      <c r="E9" s="0" t="n">
        <v>200</v>
      </c>
      <c r="F9" s="0" t="n">
        <v>0</v>
      </c>
      <c r="G9" s="0" t="n">
        <v>0</v>
      </c>
      <c r="H9" s="8" t="n">
        <v>100</v>
      </c>
    </row>
    <row r="10" customFormat="false" ht="15" hidden="false" customHeight="false" outlineLevel="0" collapsed="false">
      <c r="A10" s="0" t="s">
        <v>288</v>
      </c>
      <c r="B10" s="0" t="n">
        <v>60</v>
      </c>
      <c r="C10" s="0" t="s">
        <v>289</v>
      </c>
      <c r="D10" s="8" t="n">
        <v>0</v>
      </c>
      <c r="E10" s="0" t="n">
        <v>60</v>
      </c>
      <c r="F10" s="0" t="n">
        <v>0</v>
      </c>
      <c r="G10" s="0" t="n">
        <v>0</v>
      </c>
      <c r="H10" s="8" t="n">
        <v>100</v>
      </c>
    </row>
    <row r="11" customFormat="false" ht="15" hidden="false" customHeight="false" outlineLevel="0" collapsed="false">
      <c r="A11" s="0" t="s">
        <v>290</v>
      </c>
      <c r="B11" s="0" t="n">
        <v>40</v>
      </c>
      <c r="C11" s="0" t="s">
        <v>281</v>
      </c>
      <c r="D11" s="8" t="n">
        <v>-345037.87</v>
      </c>
      <c r="E11" s="0" t="n">
        <v>40</v>
      </c>
      <c r="F11" s="0" t="n">
        <v>0</v>
      </c>
      <c r="G11" s="0" t="n">
        <v>0</v>
      </c>
      <c r="H11" s="8" t="n">
        <v>100</v>
      </c>
    </row>
    <row r="12" customFormat="false" ht="15" hidden="false" customHeight="false" outlineLevel="0" collapsed="false">
      <c r="A12" s="0" t="s">
        <v>291</v>
      </c>
      <c r="B12" s="0" t="n">
        <v>80</v>
      </c>
      <c r="C12" s="0" t="s">
        <v>292</v>
      </c>
      <c r="D12" s="8" t="n">
        <v>-832874.79</v>
      </c>
      <c r="E12" s="0" t="n">
        <v>80</v>
      </c>
      <c r="F12" s="0" t="n">
        <v>0</v>
      </c>
      <c r="G12" s="0" t="n">
        <v>0</v>
      </c>
      <c r="H12" s="8" t="n">
        <v>100</v>
      </c>
    </row>
    <row r="13" customFormat="false" ht="15" hidden="false" customHeight="false" outlineLevel="0" collapsed="false">
      <c r="A13" s="0" t="s">
        <v>293</v>
      </c>
      <c r="B13" s="0" t="n">
        <v>150</v>
      </c>
      <c r="C13" s="0" t="s">
        <v>281</v>
      </c>
      <c r="D13" s="8" t="n">
        <v>661749.88</v>
      </c>
      <c r="E13" s="0" t="n">
        <v>0</v>
      </c>
      <c r="F13" s="0" t="n">
        <v>0</v>
      </c>
      <c r="G13" s="0" t="n">
        <v>0</v>
      </c>
      <c r="H13" s="8" t="n">
        <v>0</v>
      </c>
    </row>
    <row r="14" customFormat="false" ht="15" hidden="false" customHeight="false" outlineLevel="0" collapsed="false">
      <c r="A14" s="0" t="s">
        <v>294</v>
      </c>
      <c r="B14" s="0" t="n">
        <v>2030</v>
      </c>
      <c r="C14" s="8"/>
      <c r="D14" s="8" t="n">
        <v>26810808.71</v>
      </c>
      <c r="E14" s="0" t="n">
        <v>1880</v>
      </c>
      <c r="F14" s="0" t="n">
        <v>1</v>
      </c>
      <c r="G14" s="0" t="n">
        <v>1</v>
      </c>
      <c r="H14" s="8" t="n">
        <v>92.6</v>
      </c>
    </row>
    <row r="16" customFormat="false" ht="15" hidden="false" customHeight="false" outlineLevel="0" collapsed="false">
      <c r="A16" s="0" t="s">
        <v>253</v>
      </c>
      <c r="D16" s="6" t="n">
        <f aca="false">Materialidade!D9*1000</f>
        <v>80000000</v>
      </c>
    </row>
    <row r="17" customFormat="false" ht="15" hidden="false" customHeight="false" outlineLevel="0" collapsed="false">
      <c r="A17" s="0" t="s">
        <v>295</v>
      </c>
      <c r="D17" s="6" t="n">
        <f aca="false">Materialidade!D11*1000</f>
        <v>56000000</v>
      </c>
    </row>
    <row r="18" customFormat="false" ht="15" hidden="false" customHeight="false" outlineLevel="0" collapsed="false">
      <c r="A18" s="0" t="s">
        <v>296</v>
      </c>
      <c r="D18" s="6" t="n">
        <f aca="false">Materialidade!D12*1000</f>
        <v>4000000</v>
      </c>
    </row>
    <row r="19" customFormat="false" ht="15" hidden="false" customHeight="false" outlineLevel="0" collapsed="false">
      <c r="A19" s="0" t="s">
        <v>297</v>
      </c>
      <c r="D19" s="7" t="n">
        <f aca="false">D20/D16</f>
        <v>0.3433956945</v>
      </c>
    </row>
    <row r="20" customFormat="false" ht="15" hidden="false" customHeight="false" outlineLevel="0" collapsed="false">
      <c r="A20" s="0" t="s">
        <v>298</v>
      </c>
      <c r="D20" s="12" t="n">
        <v>27471655.56</v>
      </c>
    </row>
    <row r="21" customFormat="false" ht="15" hidden="false" customHeight="false" outlineLevel="0" collapsed="false">
      <c r="A21" s="0" t="s">
        <v>299</v>
      </c>
      <c r="D21" s="7" t="n">
        <f aca="false">D20/D17</f>
        <v>0.490565277857143</v>
      </c>
    </row>
    <row r="22" customFormat="false" ht="15" hidden="false" customHeight="false" outlineLevel="0" collapsed="false">
      <c r="A22" s="0" t="s">
        <v>300</v>
      </c>
      <c r="D22" s="12" t="n">
        <v>8486139.37</v>
      </c>
    </row>
    <row r="23" customFormat="false" ht="15" hidden="false" customHeight="false" outlineLevel="0" collapsed="false">
      <c r="A23" s="0" t="s">
        <v>301</v>
      </c>
      <c r="D23" s="7" t="n">
        <f aca="false">D22/(Materialidade!D13*1000)</f>
        <v>0.310279318829982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1" t="s">
        <v>302</v>
      </c>
    </row>
    <row r="3" customFormat="false" ht="15" hidden="false" customHeight="false" outlineLevel="0" collapsed="false">
      <c r="A3" s="2" t="s">
        <v>155</v>
      </c>
      <c r="B3" s="2" t="s">
        <v>303</v>
      </c>
    </row>
    <row r="4" customFormat="false" ht="15" hidden="false" customHeight="false" outlineLevel="0" collapsed="false">
      <c r="A4" s="0" t="s">
        <v>304</v>
      </c>
      <c r="B4" s="8" t="n">
        <v>7344756000</v>
      </c>
    </row>
    <row r="5" customFormat="false" ht="15" hidden="false" customHeight="false" outlineLevel="0" collapsed="false">
      <c r="A5" s="0" t="s">
        <v>305</v>
      </c>
      <c r="B5" s="8" t="n">
        <v>4759984.35</v>
      </c>
    </row>
    <row r="6" customFormat="false" ht="15" hidden="false" customHeight="false" outlineLevel="0" collapsed="false">
      <c r="A6" s="0" t="s">
        <v>306</v>
      </c>
      <c r="B6" s="8" t="n">
        <v>13918504.78</v>
      </c>
    </row>
    <row r="7" customFormat="false" ht="15" hidden="false" customHeight="false" outlineLevel="0" collapsed="false">
      <c r="A7" s="0" t="s">
        <v>307</v>
      </c>
      <c r="B7" s="8" t="n">
        <v>8131091.29</v>
      </c>
    </row>
    <row r="8" customFormat="false" ht="15" hidden="false" customHeight="false" outlineLevel="0" collapsed="false">
      <c r="A8" s="0" t="s">
        <v>308</v>
      </c>
      <c r="B8" s="8" t="n">
        <v>661749.68</v>
      </c>
    </row>
    <row r="9" customFormat="false" ht="15" hidden="false" customHeight="false" outlineLevel="0" collapsed="false">
      <c r="A9" s="0" t="s">
        <v>309</v>
      </c>
      <c r="B9" s="8" t="n">
        <v>7372227330.1</v>
      </c>
    </row>
    <row r="10" customFormat="false" ht="15" hidden="false" customHeight="false" outlineLevel="0" collapsed="false">
      <c r="A10" s="0" t="s">
        <v>310</v>
      </c>
      <c r="B10" s="8" t="n">
        <v>7372227655.56</v>
      </c>
    </row>
    <row r="11" customFormat="false" ht="15" hidden="false" customHeight="false" outlineLevel="0" collapsed="false">
      <c r="A11" s="0" t="s">
        <v>311</v>
      </c>
      <c r="B11" s="8" t="n">
        <v>325.46</v>
      </c>
    </row>
    <row r="12" customFormat="false" ht="15" hidden="false" customHeight="false" outlineLevel="0" collapsed="false">
      <c r="A12" s="0" t="s">
        <v>312</v>
      </c>
      <c r="B12" s="8" t="n">
        <v>-832874.79</v>
      </c>
    </row>
    <row r="13" customFormat="false" ht="15" hidden="false" customHeight="false" outlineLevel="0" collapsed="false">
      <c r="A13" s="0" t="s">
        <v>313</v>
      </c>
      <c r="B13" s="8" t="n">
        <v>7371394780.77</v>
      </c>
    </row>
    <row r="14" customFormat="false" ht="15" hidden="false" customHeight="false" outlineLevel="0" collapsed="false">
      <c r="A14" s="0" t="s">
        <v>314</v>
      </c>
      <c r="B14" s="8" t="n">
        <v>26638780.77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315</v>
      </c>
    </row>
    <row r="3" customFormat="false" ht="15" hidden="false" customHeight="false" outlineLevel="0" collapsed="false">
      <c r="A3" s="2" t="s">
        <v>316</v>
      </c>
      <c r="B3" s="2" t="s">
        <v>317</v>
      </c>
      <c r="C3" s="2" t="s">
        <v>318</v>
      </c>
      <c r="D3" s="2" t="s">
        <v>319</v>
      </c>
    </row>
    <row r="4" customFormat="false" ht="15" hidden="false" customHeight="false" outlineLevel="0" collapsed="false">
      <c r="A4" s="0" t="s">
        <v>320</v>
      </c>
      <c r="B4" s="0" t="n">
        <v>300</v>
      </c>
      <c r="C4" s="8" t="n">
        <v>4179957.17</v>
      </c>
      <c r="D4" s="8" t="n">
        <v>-9685.47</v>
      </c>
    </row>
    <row r="5" customFormat="false" ht="15" hidden="false" customHeight="false" outlineLevel="0" collapsed="false">
      <c r="A5" s="0" t="s">
        <v>321</v>
      </c>
      <c r="B5" s="0" t="n">
        <v>410</v>
      </c>
      <c r="C5" s="8" t="n">
        <v>20587932.87</v>
      </c>
      <c r="D5" s="8" t="n">
        <v>13918504.78</v>
      </c>
    </row>
    <row r="6" customFormat="false" ht="15" hidden="false" customHeight="false" outlineLevel="0" collapsed="false">
      <c r="A6" s="0" t="s">
        <v>322</v>
      </c>
      <c r="B6" s="0" t="n">
        <v>300</v>
      </c>
      <c r="C6" s="8" t="n">
        <v>4759984.35</v>
      </c>
      <c r="D6" s="8" t="n">
        <v>4759984.35</v>
      </c>
    </row>
    <row r="7" customFormat="false" ht="15" hidden="false" customHeight="false" outlineLevel="0" collapsed="false">
      <c r="A7" s="0" t="s">
        <v>323</v>
      </c>
      <c r="B7" s="0" t="n">
        <v>60</v>
      </c>
      <c r="C7" s="8" t="n">
        <v>809224.81</v>
      </c>
      <c r="D7" s="8" t="n">
        <v>-0.05</v>
      </c>
    </row>
    <row r="8" customFormat="false" ht="15" hidden="false" customHeight="false" outlineLevel="0" collapsed="false">
      <c r="A8" s="0" t="s">
        <v>324</v>
      </c>
      <c r="B8" s="0" t="n">
        <v>640</v>
      </c>
      <c r="C8" s="8" t="n">
        <v>16753739.18</v>
      </c>
      <c r="D8" s="8" t="n">
        <v>8141101.14</v>
      </c>
    </row>
    <row r="9" customFormat="false" ht="15" hidden="false" customHeight="false" outlineLevel="0" collapsed="false">
      <c r="A9" s="0" t="s">
        <v>325</v>
      </c>
      <c r="B9" s="0" t="n">
        <v>150</v>
      </c>
      <c r="C9" s="8" t="n">
        <v>2211767.29</v>
      </c>
      <c r="D9" s="8" t="n">
        <v>-0.1</v>
      </c>
    </row>
    <row r="10" customFormat="false" ht="15" hidden="false" customHeight="false" outlineLevel="0" collapsed="false">
      <c r="A10" s="0" t="s">
        <v>326</v>
      </c>
      <c r="B10" s="0" t="n">
        <v>201</v>
      </c>
      <c r="C10" s="8" t="n">
        <v>11009638.52</v>
      </c>
      <c r="D10" s="8" t="n">
        <v>8365652.09</v>
      </c>
    </row>
    <row r="11" customFormat="false" ht="15" hidden="false" customHeight="false" outlineLevel="0" collapsed="false">
      <c r="A11" s="0" t="s">
        <v>327</v>
      </c>
      <c r="B11" s="0" t="n">
        <v>200</v>
      </c>
      <c r="C11" s="8" t="n">
        <v>10992957.64</v>
      </c>
      <c r="D11" s="8" t="n">
        <v>8365652.09</v>
      </c>
    </row>
    <row r="12" customFormat="false" ht="15" hidden="false" customHeight="false" outlineLevel="0" collapsed="false">
      <c r="A12" s="0" t="s">
        <v>328</v>
      </c>
      <c r="B12" s="0" t="n">
        <v>109</v>
      </c>
      <c r="C12" s="8" t="n">
        <v>6315105.5</v>
      </c>
      <c r="D12" s="8" t="n">
        <v>4704748.88</v>
      </c>
    </row>
    <row r="13" customFormat="false" ht="15" hidden="false" customHeight="false" outlineLevel="0" collapsed="false">
      <c r="A13" s="0" t="s">
        <v>329</v>
      </c>
      <c r="B13" s="0" t="n">
        <v>200</v>
      </c>
      <c r="C13" s="8" t="n">
        <v>10992957.64</v>
      </c>
      <c r="D13" s="8" t="n">
        <v>8365652.09</v>
      </c>
    </row>
    <row r="14" customFormat="false" ht="15" hidden="false" customHeight="false" outlineLevel="0" collapsed="false">
      <c r="A14" s="0" t="s">
        <v>330</v>
      </c>
      <c r="B14" s="0" t="n">
        <v>40</v>
      </c>
      <c r="C14" s="8" t="n">
        <v>0</v>
      </c>
      <c r="D14" s="8" t="n">
        <v>-345037.88</v>
      </c>
    </row>
    <row r="15" customFormat="false" ht="15" hidden="false" customHeight="false" outlineLevel="0" collapsed="false">
      <c r="A15" s="0" t="s">
        <v>331</v>
      </c>
      <c r="B15" s="0" t="n">
        <v>80</v>
      </c>
      <c r="C15" s="8" t="n">
        <v>832874.79</v>
      </c>
      <c r="D15" s="8" t="n">
        <v>-0.04</v>
      </c>
    </row>
    <row r="16" customFormat="false" ht="15" hidden="false" customHeight="false" outlineLevel="0" collapsed="false">
      <c r="A16" s="0" t="s">
        <v>332</v>
      </c>
      <c r="B16" s="0" t="n">
        <v>0</v>
      </c>
      <c r="C16" s="8" t="n">
        <v>0</v>
      </c>
      <c r="D16" s="8" t="n">
        <v>661749.68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2026-10-23T15:31:58Z</dcterms:created>
  <dc:creator>openpyxl</dc:creator>
  <dc:description/>
  <dc:language>en-US</dc:language>
  <cp:lastModifiedBy/>
  <dcterms:modified xsi:type="dcterms:W3CDTF">2026-10-23T15:31:58Z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